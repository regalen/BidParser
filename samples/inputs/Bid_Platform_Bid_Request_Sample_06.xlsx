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novo Bid Platform Bid Request" r:id="rId3" sheetId="1"/>
  </sheets>
</workbook>
</file>

<file path=xl/sharedStrings.xml><?xml version="1.0" encoding="utf-8"?>
<sst xmlns="http://schemas.openxmlformats.org/spreadsheetml/2006/main" count="573" uniqueCount="124">
  <si>
    <t/>
  </si>
  <si>
    <t>Sample Lenovo LBP-E Quote 3</t>
  </si>
  <si>
    <t>Prepared By: parser.tester@example.invalid</t>
  </si>
  <si>
    <t>Prepared for: SAMPLE RESELLER PTY LTD</t>
  </si>
  <si>
    <t>For End Customer: SAMPLE CUSTOMER PTY LTD</t>
  </si>
  <si>
    <t>Expiry Date: 20-Aug-2026 00:00:00</t>
  </si>
  <si>
    <t>Created Date: 06-Aug-2026 07:51:30</t>
  </si>
  <si>
    <t>Bid Request Number: BRDADTEST0003</t>
  </si>
  <si>
    <t>Version#: 2</t>
  </si>
  <si>
    <t>Notwithstanding the stated price validity period, Lenovo retains the right to revise pricing prior to order confirmation where there is a material fluctuation in market prices for key components. Any such adjustment shall be notified in writing and subject to mutual agreement before proceeding with supply.
All pricing shown is exclusive of Local Sales Tax and is estimated pricing. For official confirmation please use the ‘Confirm bid request’ button. The Ts&amp;Cs apply to all pricing which can also be viewed on the bid request.</t>
  </si>
  <si>
    <t>PN</t>
  </si>
  <si>
    <t>Description</t>
  </si>
  <si>
    <t>Requested Quantity</t>
  </si>
  <si>
    <t>Estimated Price (AUD)</t>
  </si>
  <si>
    <t>ESD</t>
  </si>
  <si>
    <t>'</t>
  </si>
  <si>
    <t>(per unit)</t>
  </si>
  <si>
    <t>(quantity x unit price)</t>
  </si>
  <si>
    <t>Set from Configurator(Config 1) SIDTEST0003</t>
  </si>
  <si>
    <t>7D9GCTO1WW</t>
  </si>
  <si>
    <t>Subtotal</t>
  </si>
  <si>
    <t>Server1_4x 64GB RAM_1x 1.92TB Drive_Server ThinkSystem SR635 V3-3yr Base Warranty</t>
  </si>
  <si>
    <t>1</t>
  </si>
  <si>
    <t>Feature Code</t>
  </si>
  <si>
    <t>Qty</t>
  </si>
  <si>
    <t>BLK4</t>
  </si>
  <si>
    <t>ThinkSystem V3 1U 10x2.5" Chassis</t>
  </si>
  <si>
    <t>BFYB</t>
  </si>
  <si>
    <t>Operating mode selection for: "Maximum Performance Mode"</t>
  </si>
  <si>
    <t>BVGL</t>
  </si>
  <si>
    <t>Data Center Environment 30 Degree Celsius / 86 Degree Fahrenheit</t>
  </si>
  <si>
    <t>BPVJ</t>
  </si>
  <si>
    <t>AMD EPYC 9554 64C 360W 3.1GHz Processor</t>
  </si>
  <si>
    <t>BQ26</t>
  </si>
  <si>
    <t>ThinkSystem SR645 V3/SR635 V3 Performance Heatsink (Neptune Air)</t>
  </si>
  <si>
    <t>C0DF</t>
  </si>
  <si>
    <t>Platform Secure Boot Enable</t>
  </si>
  <si>
    <t>BQ3D</t>
  </si>
  <si>
    <t>ThinkSystem 64GB TruDDR5 4800MHz (2Rx4) 10x4 RDIMM-A</t>
  </si>
  <si>
    <t>4</t>
  </si>
  <si>
    <t>5977</t>
  </si>
  <si>
    <t>Select Storage devices - no configured RAID required</t>
  </si>
  <si>
    <t>BC4V</t>
  </si>
  <si>
    <t>Non RAID NVMe</t>
  </si>
  <si>
    <t>C18N</t>
  </si>
  <si>
    <t>ThinkSystem 2.5" U.2 VA 1.92TB Read Intensive NVMe PCIe 4.0 x4 HS SSD</t>
  </si>
  <si>
    <t>BPC9</t>
  </si>
  <si>
    <t>ThinkSystem 1U 4x 2.5" NVMe Gen 4 Backplane</t>
  </si>
  <si>
    <t>B5ST</t>
  </si>
  <si>
    <t>ThinkSystem Broadcom 57416 10GBASE-T 2-port OCP Ethernet Adapter</t>
  </si>
  <si>
    <t>BNFH</t>
  </si>
  <si>
    <t>ThinkSystem 1100W 230V/115V Platinum Hot-Swap Gen2 Power Supply v3</t>
  </si>
  <si>
    <t>2</t>
  </si>
  <si>
    <t>6400</t>
  </si>
  <si>
    <t>2.8m, 13A/100-250V, C13 to C14 Jumper Cord</t>
  </si>
  <si>
    <t>BH9M</t>
  </si>
  <si>
    <t>ThinkSystem V3 1U Performance Fan Option Kit v2</t>
  </si>
  <si>
    <t>7</t>
  </si>
  <si>
    <t>BLKD</t>
  </si>
  <si>
    <t>ThinkSystem 1U V3 10x2.5" Media Bay w/ Ext. Diagnostics Port</t>
  </si>
  <si>
    <t>B8LC</t>
  </si>
  <si>
    <t>ThinkSystem Toolless Slide Rail Kit v2 with 1U CMA</t>
  </si>
  <si>
    <t>BPKQ</t>
  </si>
  <si>
    <t>TPM 2.0 with Secure Boot</t>
  </si>
  <si>
    <t>BQ7L</t>
  </si>
  <si>
    <t>ThinkSystem SR635 V3 MB</t>
  </si>
  <si>
    <t>C8WT</t>
  </si>
  <si>
    <t>SR635 V3 Laser service indicator</t>
  </si>
  <si>
    <t>BHSS</t>
  </si>
  <si>
    <t>MI for PXE with RJ45 Network port</t>
  </si>
  <si>
    <t>AURS</t>
  </si>
  <si>
    <t>Lenovo ThinkSystem Memory Dummy</t>
  </si>
  <si>
    <t>8</t>
  </si>
  <si>
    <t>BCEB</t>
  </si>
  <si>
    <t>ThinkSystem 1U V2 2x3 2.5" HDD Dummy</t>
  </si>
  <si>
    <t>AVEN</t>
  </si>
  <si>
    <t>ThinkSystem 1x1 2.5" HDD Filler</t>
  </si>
  <si>
    <t>3</t>
  </si>
  <si>
    <t>B8NK</t>
  </si>
  <si>
    <t>ThinkSystem 1U Super Cap Holder Dummy</t>
  </si>
  <si>
    <t>B8NA</t>
  </si>
  <si>
    <t>ThinkSystem 1U MS LP+LP Riser Filler</t>
  </si>
  <si>
    <t>B8NB</t>
  </si>
  <si>
    <t>ThinkSystem 1U MS LP Riser Filler</t>
  </si>
  <si>
    <t>B984</t>
  </si>
  <si>
    <t>ThinkSystem 1U PLV Top Cover Sponge</t>
  </si>
  <si>
    <t>B8NJ</t>
  </si>
  <si>
    <t>ThinkSystem 1U MS Fan Dummy</t>
  </si>
  <si>
    <t>BSR6</t>
  </si>
  <si>
    <t>ThinkSystem SR635 V3/SR655 V3 RoT Module LV-RoW</t>
  </si>
  <si>
    <t>BRPJ</t>
  </si>
  <si>
    <t>XCC Platinum</t>
  </si>
  <si>
    <t>7S0XCTO6WW</t>
  </si>
  <si>
    <t>software1 XClarity One</t>
  </si>
  <si>
    <t>SCJD</t>
  </si>
  <si>
    <t>XClarity One - Standard, Per Endpoint w/3 Yr SW S&amp;S</t>
  </si>
  <si>
    <t>7S0XCTO5WW</t>
  </si>
  <si>
    <t>software2 XClarity Controller Platin-FOD</t>
  </si>
  <si>
    <t>SBCV</t>
  </si>
  <si>
    <t>Lenovo XClarity XCC2 Platinum Upgrade (FOD)</t>
  </si>
  <si>
    <t>5374CM1</t>
  </si>
  <si>
    <t>software3 Configuration Instruction</t>
  </si>
  <si>
    <t>5PS7C01108</t>
  </si>
  <si>
    <t>3Yr KYD Add-On SR635 V3</t>
  </si>
  <si>
    <t>5WS7C01093</t>
  </si>
  <si>
    <t>3Yr Premier NBD Resp SR635 V3</t>
  </si>
  <si>
    <t>Server1_8x 64GB RAM_2x 1.92TB Drives_Server ThinkSystem SR635 V3-3yr Base Warranty</t>
  </si>
  <si>
    <t>Server2_8x 32GB RAM_1x960GB Drive_Server ThinkSystem SR635 V3-3yr Base Warranty</t>
  </si>
  <si>
    <t>C2AL</t>
  </si>
  <si>
    <t>AMD EPYC 9535 64C 300W 2.4GHz Processor</t>
  </si>
  <si>
    <t>CBNA</t>
  </si>
  <si>
    <t>ThinkSystem SR635 V3/SR655 V3 32GB TruDDR5 6400MHz (2Rx8) RDIMM-A v2</t>
  </si>
  <si>
    <t>C0GK</t>
  </si>
  <si>
    <t>ThinkSystem 2.5" U.2 PM9D3a 960GB Read Intensive NVMe PCIe 5.0 x4 HS SSD</t>
  </si>
  <si>
    <t>C2AD</t>
  </si>
  <si>
    <t>ThinkSystem SR635 V3 MB w/IO+PIB+FB,1U</t>
  </si>
  <si>
    <t>C1PT</t>
  </si>
  <si>
    <t>ThinkSystem SR635 V3/SR655 V3 Root of Trust Module Low Voltage-RoW V2</t>
  </si>
  <si>
    <t>Server2_8x 64GB RAM_1x1.92TDrive_Server ThinkSystem SR635 V3-3yr Base Warranty</t>
  </si>
  <si>
    <t>CBFR</t>
  </si>
  <si>
    <t>ThinkSystem SR635 V3/SR655 V3 64GB TruDDR5 6400MHz (2Rx4) RDIMM-A v2</t>
  </si>
  <si>
    <t>Total:</t>
  </si>
  <si>
    <t>Discount Codes Applied</t>
  </si>
  <si>
    <t>Discount Value</t>
  </si>
</sst>
</file>

<file path=xl/styles.xml><?xml version="1.0" encoding="utf-8"?>
<styleSheet xmlns="http://schemas.openxmlformats.org/spreadsheetml/2006/main">
  <numFmts count="1">
    <numFmt numFmtId="164" formatCode="#,#0"/>
  </numFmts>
  <fonts count="212">
    <font>
      <sz val="11.0"/>
      <color indexed="8"/>
      <name val="Calibri"/>
      <family val="2"/>
      <scheme val="minor"/>
    </font>
    <font>
      <name val="Arial"/>
      <sz val="10.0"/>
    </font>
    <font>
      <name val="Arial"/>
      <sz val="22.0"/>
      <color indexed="9"/>
      <b val="true"/>
    </font>
    <font>
      <name val="Arial"/>
      <sz val="10.0"/>
    </font>
    <font>
      <name val="Arial"/>
      <sz val="10.0"/>
    </font>
    <font>
      <name val="Arial"/>
      <sz val="10.0"/>
    </font>
    <font>
      <name val="Arial"/>
      <sz val="10.0"/>
    </font>
    <font>
      <name val="Arial"/>
      <sz val="11.0"/>
      <color indexed="9"/>
      <b val="true"/>
    </font>
    <font>
      <name val="Arial"/>
      <sz val="10.0"/>
    </font>
    <font>
      <name val="Arial"/>
      <sz val="10.0"/>
    </font>
    <font>
      <name val="Arial"/>
      <sz val="10.0"/>
    </font>
    <font>
      <name val="Arial"/>
      <sz val="10.0"/>
    </font>
    <font>
      <name val="Arial"/>
      <sz val="10.0"/>
      <b val="true"/>
    </font>
    <font>
      <name val="Arial"/>
      <sz val="10.0"/>
      <b val="true"/>
    </font>
    <font>
      <name val="Arial"/>
      <sz val="10.0"/>
    </font>
    <font>
      <name val="Arial"/>
      <sz val="11.0"/>
    </font>
    <font>
      <name val="Arial"/>
      <sz val="10.0"/>
      <color indexed="9"/>
    </font>
    <font>
      <name val="Arial"/>
      <sz val="1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Arial"/>
      <sz val="10.0"/>
    </font>
    <font>
      <name val="Arial"/>
      <sz val="10.0"/>
      <b val="true"/>
    </font>
  </fonts>
  <fills count="5">
    <fill>
      <patternFill patternType="none"/>
    </fill>
    <fill>
      <patternFill patternType="darkGray"/>
    </fill>
    <fill>
      <patternFill patternType="solid"/>
    </fill>
    <fill>
      <patternFill patternType="solid">
        <fgColor rgb="D40915"/>
      </patternFill>
    </fill>
    <fill>
      <patternFill patternType="solid">
        <fgColor rgb="750207"/>
      </patternFill>
    </fill>
  </fills>
  <borders count="1">
    <border>
      <left/>
      <right/>
      <top/>
      <bottom/>
      <diagonal/>
    </border>
  </borders>
  <cellStyleXfs count="1">
    <xf numFmtId="0" fontId="0" fillId="0" borderId="0"/>
  </cellStyleXfs>
  <cellXfs count="13">
    <xf numFmtId="0" fontId="0" fillId="0" borderId="0" xfId="0"/>
    <xf numFmtId="0" fontId="210" fillId="0" borderId="0" xfId="0" applyFont="true">
      <alignment horizontal="left" vertical="bottom"/>
    </xf>
    <xf numFmtId="4" fontId="1" fillId="0" borderId="0" xfId="0" applyFont="true" applyNumberFormat="true">
      <alignment horizontal="left"/>
    </xf>
    <xf numFmtId="0" fontId="2" fillId="3" borderId="0" xfId="0" applyFont="true" applyFill="true"/>
    <xf numFmtId="0" fontId="6" fillId="0" borderId="0" xfId="0" applyFont="true">
      <alignment wrapText="true"/>
    </xf>
    <xf numFmtId="0" fontId="7" fillId="4" borderId="0" xfId="0" applyFont="true" applyFill="true">
      <alignment wrapText="true" horizontal="center"/>
    </xf>
    <xf numFmtId="0" fontId="12" fillId="0" borderId="0" xfId="0" applyFont="true">
      <alignment vertical="center"/>
    </xf>
    <xf numFmtId="4" fontId="13" fillId="0" borderId="0" xfId="0" applyFont="true" applyNumberFormat="true">
      <alignment horizontal="right"/>
    </xf>
    <xf numFmtId="4" fontId="14" fillId="0" borderId="0" xfId="0" applyFont="true" applyNumberFormat="true">
      <alignment wrapText="true" horizontal="left"/>
    </xf>
    <xf numFmtId="0" fontId="15" fillId="0" borderId="0" xfId="0" applyFont="true">
      <alignment wrapText="true" horizontal="left"/>
    </xf>
    <xf numFmtId="0" fontId="16" fillId="4" borderId="0" xfId="0" applyFont="true" applyFill="true"/>
    <xf numFmtId="0" fontId="17" fillId="0" borderId="0" xfId="0" applyFont="true"/>
    <xf numFmtId="0" fontId="211"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baseColWidth="15"/>
  <cols>
    <col min="2" max="2" width="46.875" customWidth="true"/>
  </cols>
  <sheetData>
    <row r="1">
      <c r="A1" t="s" s="3">
        <v>0</v>
      </c>
      <c r="B1" t="s" s="3">
        <v>1</v>
      </c>
      <c r="C1" t="s" s="3">
        <v>0</v>
      </c>
      <c r="D1" t="s" s="3">
        <v>0</v>
      </c>
      <c r="E1" t="s" s="3">
        <v>0</v>
      </c>
      <c r="F1" t="s" s="3">
        <v>0</v>
      </c>
      <c r="G1" t="s" s="3">
        <v>0</v>
      </c>
      <c r="H1" t="s" s="3">
        <v>0</v>
      </c>
      <c r="I1" t="s" s="3">
        <v>0</v>
      </c>
      <c r="J1" t="s" s="3">
        <v>0</v>
      </c>
      <c r="K1" t="s" s="3">
        <v>0</v>
      </c>
      <c r="L1" t="s" s="3">
        <v>0</v>
      </c>
    </row>
    <row r="2">
      <c r="A2" t="s" s="1">
        <v>0</v>
      </c>
      <c r="B2" t="s" s="1">
        <v>2</v>
      </c>
      <c r="C2" t="s" s="1">
        <v>0</v>
      </c>
      <c r="D2" t="s" s="1">
        <v>0</v>
      </c>
      <c r="E2" t="s" s="1">
        <v>0</v>
      </c>
      <c r="F2" t="s" s="1">
        <v>0</v>
      </c>
      <c r="G2" t="s" s="1">
        <v>3</v>
      </c>
      <c r="H2" t="s" s="1">
        <v>0</v>
      </c>
    </row>
    <row r="3">
      <c r="A3" t="s" s="1">
        <v>0</v>
      </c>
      <c r="B3" t="s" s="1">
        <v>4</v>
      </c>
      <c r="C3" t="s" s="1">
        <v>0</v>
      </c>
      <c r="D3" t="s" s="1">
        <v>0</v>
      </c>
      <c r="E3" t="s" s="1">
        <v>0</v>
      </c>
      <c r="F3" t="s" s="1">
        <v>0</v>
      </c>
      <c r="G3" t="s" s="1">
        <v>5</v>
      </c>
    </row>
    <row r="4">
      <c r="A4" t="s" s="1">
        <v>0</v>
      </c>
      <c r="B4" t="s" s="1">
        <v>6</v>
      </c>
      <c r="C4" t="s" s="1">
        <v>0</v>
      </c>
      <c r="D4" t="s" s="1">
        <v>0</v>
      </c>
      <c r="E4" t="s" s="1">
        <v>0</v>
      </c>
      <c r="F4" t="s" s="1">
        <v>0</v>
      </c>
      <c r="G4" t="s" s="1">
        <v>7</v>
      </c>
      <c r="H4" s="1"/>
      <c r="I4" t="s" s="1">
        <v>8</v>
      </c>
    </row>
    <row r="5" ht="153.0" customHeight="true">
      <c r="A5" t="s" s="4">
        <v>0</v>
      </c>
      <c r="B5" t="s" s="4">
        <v>9</v>
      </c>
    </row>
    <row r="6" ht="40.0" customHeight="true">
      <c r="A6" t="s" s="5">
        <v>10</v>
      </c>
      <c r="B6" t="s" s="5">
        <v>11</v>
      </c>
      <c r="C6" t="s" s="5">
        <v>12</v>
      </c>
      <c r="D6" t="s" s="5">
        <v>13</v>
      </c>
      <c r="E6" t="s" s="5">
        <v>13</v>
      </c>
      <c r="F6" t="s" s="5">
        <v>14</v>
      </c>
    </row>
    <row r="7">
      <c r="A7" t="s" s="1">
        <v>0</v>
      </c>
      <c r="B7" t="s" s="1">
        <v>15</v>
      </c>
      <c r="C7" t="s" s="1">
        <v>15</v>
      </c>
      <c r="D7" t="s" s="1">
        <v>16</v>
      </c>
      <c r="E7" t="s" s="1">
        <v>17</v>
      </c>
      <c r="F7" t="s" s="1">
        <v>0</v>
      </c>
      <c r="G7" t="s" s="1">
        <v>0</v>
      </c>
    </row>
    <row r="8"/>
    <row r="9"/>
    <row r="10"/>
    <row r="11" ht="28.5" customHeight="true">
      <c r="A11" t="s" s="6">
        <v>18</v>
      </c>
    </row>
    <row r="12">
      <c r="A12" t="s" s="7">
        <v>19</v>
      </c>
      <c r="B12" t="s" s="7">
        <v>20</v>
      </c>
      <c r="C12" t="s" s="7">
        <v>0</v>
      </c>
      <c r="D12" s="2" t="n">
        <v>36100.32</v>
      </c>
      <c r="E12" s="2" t="n">
        <f>SUM(E13:E54)</f>
        <v>36100.32</v>
      </c>
    </row>
    <row r="13">
      <c r="A13" t="s" s="8">
        <v>19</v>
      </c>
      <c r="B13" t="s" s="8">
        <v>21</v>
      </c>
      <c r="C13" t="s" s="8">
        <v>22</v>
      </c>
      <c r="D13" s="8" t="n">
        <v>34022.96</v>
      </c>
      <c r="E13" s="8" t="n">
        <f>C13 * D13</f>
        <v>34022.96</v>
      </c>
      <c r="F13" s="9"/>
      <c r="G13" s="8"/>
    </row>
    <row r="14">
      <c r="A14" t="s" s="10">
        <v>23</v>
      </c>
      <c r="B14" t="s" s="10">
        <v>11</v>
      </c>
      <c r="C14" t="s" s="10">
        <v>24</v>
      </c>
    </row>
    <row r="15">
      <c r="A15" t="s" s="11">
        <v>25</v>
      </c>
      <c r="B15" t="s" s="11">
        <v>26</v>
      </c>
      <c r="C15" t="s" s="11">
        <v>22</v>
      </c>
    </row>
    <row r="16">
      <c r="A16" t="s" s="11">
        <v>27</v>
      </c>
      <c r="B16" t="s" s="11">
        <v>28</v>
      </c>
      <c r="C16" t="s" s="11">
        <v>22</v>
      </c>
    </row>
    <row r="17">
      <c r="A17" t="s" s="11">
        <v>29</v>
      </c>
      <c r="B17" t="s" s="11">
        <v>30</v>
      </c>
      <c r="C17" t="s" s="11">
        <v>22</v>
      </c>
    </row>
    <row r="18">
      <c r="A18" t="s" s="11">
        <v>31</v>
      </c>
      <c r="B18" t="s" s="11">
        <v>32</v>
      </c>
      <c r="C18" t="s" s="11">
        <v>22</v>
      </c>
    </row>
    <row r="19">
      <c r="A19" t="s" s="11">
        <v>33</v>
      </c>
      <c r="B19" t="s" s="11">
        <v>34</v>
      </c>
      <c r="C19" t="s" s="11">
        <v>22</v>
      </c>
    </row>
    <row r="20">
      <c r="A20" t="s" s="11">
        <v>35</v>
      </c>
      <c r="B20" t="s" s="11">
        <v>36</v>
      </c>
      <c r="C20" t="s" s="11">
        <v>22</v>
      </c>
    </row>
    <row r="21">
      <c r="A21" t="s" s="11">
        <v>37</v>
      </c>
      <c r="B21" t="s" s="11">
        <v>38</v>
      </c>
      <c r="C21" t="s" s="11">
        <v>39</v>
      </c>
    </row>
    <row r="22">
      <c r="A22" t="s" s="11">
        <v>40</v>
      </c>
      <c r="B22" t="s" s="11">
        <v>41</v>
      </c>
      <c r="C22" t="s" s="11">
        <v>22</v>
      </c>
    </row>
    <row r="23">
      <c r="A23" t="s" s="11">
        <v>42</v>
      </c>
      <c r="B23" t="s" s="11">
        <v>43</v>
      </c>
      <c r="C23" t="s" s="11">
        <v>22</v>
      </c>
    </row>
    <row r="24">
      <c r="A24" t="s" s="11">
        <v>44</v>
      </c>
      <c r="B24" t="s" s="11">
        <v>45</v>
      </c>
      <c r="C24" t="s" s="11">
        <v>22</v>
      </c>
    </row>
    <row r="25">
      <c r="A25" t="s" s="11">
        <v>46</v>
      </c>
      <c r="B25" t="s" s="11">
        <v>47</v>
      </c>
      <c r="C25" t="s" s="11">
        <v>22</v>
      </c>
    </row>
    <row r="26">
      <c r="A26" t="s" s="11">
        <v>48</v>
      </c>
      <c r="B26" t="s" s="11">
        <v>49</v>
      </c>
      <c r="C26" t="s" s="11">
        <v>22</v>
      </c>
    </row>
    <row r="27">
      <c r="A27" t="s" s="11">
        <v>50</v>
      </c>
      <c r="B27" t="s" s="11">
        <v>51</v>
      </c>
      <c r="C27" t="s" s="11">
        <v>52</v>
      </c>
    </row>
    <row r="28">
      <c r="A28" t="s" s="11">
        <v>53</v>
      </c>
      <c r="B28" t="s" s="11">
        <v>54</v>
      </c>
      <c r="C28" t="s" s="11">
        <v>52</v>
      </c>
    </row>
    <row r="29">
      <c r="A29" t="s" s="11">
        <v>55</v>
      </c>
      <c r="B29" t="s" s="11">
        <v>56</v>
      </c>
      <c r="C29" t="s" s="11">
        <v>57</v>
      </c>
    </row>
    <row r="30">
      <c r="A30" t="s" s="11">
        <v>58</v>
      </c>
      <c r="B30" t="s" s="11">
        <v>59</v>
      </c>
      <c r="C30" t="s" s="11">
        <v>22</v>
      </c>
    </row>
    <row r="31">
      <c r="A31" t="s" s="11">
        <v>60</v>
      </c>
      <c r="B31" t="s" s="11">
        <v>61</v>
      </c>
      <c r="C31" t="s" s="11">
        <v>22</v>
      </c>
    </row>
    <row r="32">
      <c r="A32" t="s" s="11">
        <v>62</v>
      </c>
      <c r="B32" t="s" s="11">
        <v>63</v>
      </c>
      <c r="C32" t="s" s="11">
        <v>22</v>
      </c>
    </row>
    <row r="33">
      <c r="A33" t="s" s="11">
        <v>64</v>
      </c>
      <c r="B33" t="s" s="11">
        <v>65</v>
      </c>
      <c r="C33" t="s" s="11">
        <v>22</v>
      </c>
    </row>
    <row r="34">
      <c r="A34" t="s" s="11">
        <v>66</v>
      </c>
      <c r="B34" t="s" s="11">
        <v>67</v>
      </c>
      <c r="C34" t="s" s="11">
        <v>22</v>
      </c>
    </row>
    <row r="35">
      <c r="A35" t="s" s="11">
        <v>68</v>
      </c>
      <c r="B35" t="s" s="11">
        <v>69</v>
      </c>
      <c r="C35" t="s" s="11">
        <v>22</v>
      </c>
    </row>
    <row r="36">
      <c r="A36" t="s" s="11">
        <v>70</v>
      </c>
      <c r="B36" t="s" s="11">
        <v>71</v>
      </c>
      <c r="C36" t="s" s="11">
        <v>72</v>
      </c>
    </row>
    <row r="37">
      <c r="A37" t="s" s="11">
        <v>73</v>
      </c>
      <c r="B37" t="s" s="11">
        <v>74</v>
      </c>
      <c r="C37" t="s" s="11">
        <v>22</v>
      </c>
    </row>
    <row r="38">
      <c r="A38" t="s" s="11">
        <v>75</v>
      </c>
      <c r="B38" t="s" s="11">
        <v>76</v>
      </c>
      <c r="C38" t="s" s="11">
        <v>77</v>
      </c>
    </row>
    <row r="39">
      <c r="A39" t="s" s="11">
        <v>78</v>
      </c>
      <c r="B39" t="s" s="11">
        <v>79</v>
      </c>
      <c r="C39" t="s" s="11">
        <v>22</v>
      </c>
    </row>
    <row r="40">
      <c r="A40" t="s" s="11">
        <v>80</v>
      </c>
      <c r="B40" t="s" s="11">
        <v>81</v>
      </c>
      <c r="C40" t="s" s="11">
        <v>22</v>
      </c>
    </row>
    <row r="41">
      <c r="A41" t="s" s="11">
        <v>82</v>
      </c>
      <c r="B41" t="s" s="11">
        <v>83</v>
      </c>
      <c r="C41" t="s" s="11">
        <v>22</v>
      </c>
    </row>
    <row r="42">
      <c r="A42" t="s" s="11">
        <v>84</v>
      </c>
      <c r="B42" t="s" s="11">
        <v>85</v>
      </c>
      <c r="C42" t="s" s="11">
        <v>22</v>
      </c>
    </row>
    <row r="43">
      <c r="A43" t="s" s="11">
        <v>86</v>
      </c>
      <c r="B43" t="s" s="11">
        <v>87</v>
      </c>
      <c r="C43" t="s" s="11">
        <v>22</v>
      </c>
    </row>
    <row r="44">
      <c r="A44" t="s" s="11">
        <v>88</v>
      </c>
      <c r="B44" t="s" s="11">
        <v>89</v>
      </c>
      <c r="C44" t="s" s="11">
        <v>22</v>
      </c>
    </row>
    <row r="45">
      <c r="A45" t="s" s="11">
        <v>90</v>
      </c>
      <c r="B45" t="s" s="11">
        <v>91</v>
      </c>
      <c r="C45" t="s" s="11">
        <v>22</v>
      </c>
    </row>
    <row r="46">
      <c r="A46" t="s" s="8">
        <v>92</v>
      </c>
      <c r="B46" t="s" s="8">
        <v>93</v>
      </c>
      <c r="C46" t="s" s="8">
        <v>22</v>
      </c>
      <c r="D46" s="8" t="n">
        <v>303.74</v>
      </c>
      <c r="E46" s="8" t="n">
        <f>C46 * D46</f>
        <v>303.74</v>
      </c>
      <c r="F46" s="9"/>
      <c r="G46" s="8"/>
    </row>
    <row r="47">
      <c r="A47" t="s" s="10">
        <v>23</v>
      </c>
      <c r="B47" t="s" s="10">
        <v>11</v>
      </c>
      <c r="C47" t="s" s="10">
        <v>24</v>
      </c>
    </row>
    <row r="48">
      <c r="A48" t="s" s="11">
        <v>94</v>
      </c>
      <c r="B48" t="s" s="11">
        <v>95</v>
      </c>
      <c r="C48" t="s" s="11">
        <v>22</v>
      </c>
    </row>
    <row r="49">
      <c r="A49" t="s" s="8">
        <v>96</v>
      </c>
      <c r="B49" t="s" s="8">
        <v>97</v>
      </c>
      <c r="C49" t="s" s="8">
        <v>22</v>
      </c>
      <c r="D49" s="8" t="n">
        <v>306.65</v>
      </c>
      <c r="E49" s="8" t="n">
        <f>C49 * D49</f>
        <v>306.65</v>
      </c>
      <c r="F49" s="9"/>
      <c r="G49" s="8"/>
    </row>
    <row r="50">
      <c r="A50" t="s" s="10">
        <v>23</v>
      </c>
      <c r="B50" t="s" s="10">
        <v>11</v>
      </c>
      <c r="C50" t="s" s="10">
        <v>24</v>
      </c>
    </row>
    <row r="51">
      <c r="A51" t="s" s="11">
        <v>98</v>
      </c>
      <c r="B51" t="s" s="11">
        <v>99</v>
      </c>
      <c r="C51" t="s" s="11">
        <v>22</v>
      </c>
    </row>
    <row r="52">
      <c r="A52" t="s" s="8">
        <v>100</v>
      </c>
      <c r="B52" t="s" s="8">
        <v>101</v>
      </c>
      <c r="C52" t="s" s="8">
        <v>22</v>
      </c>
      <c r="D52" s="8" t="n">
        <v>0.0</v>
      </c>
      <c r="E52" s="8" t="n">
        <f>C52 * D52</f>
        <v>0.0</v>
      </c>
      <c r="F52" s="9"/>
      <c r="G52" s="8"/>
    </row>
    <row r="53">
      <c r="A53" t="s" s="8">
        <v>102</v>
      </c>
      <c r="B53" t="s" s="8">
        <v>103</v>
      </c>
      <c r="C53" t="s" s="8">
        <v>22</v>
      </c>
      <c r="D53" s="8" t="n">
        <v>44.81</v>
      </c>
      <c r="E53" s="8" t="n">
        <f>C53 * D53</f>
        <v>44.81</v>
      </c>
      <c r="F53" s="9"/>
      <c r="G53" s="8"/>
    </row>
    <row r="54">
      <c r="A54" t="s" s="8">
        <v>104</v>
      </c>
      <c r="B54" t="s" s="8">
        <v>105</v>
      </c>
      <c r="C54" t="s" s="8">
        <v>22</v>
      </c>
      <c r="D54" s="8" t="n">
        <v>1422.16</v>
      </c>
      <c r="E54" s="8" t="n">
        <f>C54 * D54</f>
        <v>1422.16</v>
      </c>
      <c r="F54" s="9"/>
      <c r="G54" s="8"/>
    </row>
    <row r="55">
      <c r="A55" t="s" s="7">
        <v>19</v>
      </c>
      <c r="B55" t="s" s="7">
        <v>20</v>
      </c>
      <c r="C55" t="s" s="7">
        <v>0</v>
      </c>
      <c r="D55" s="2" t="n">
        <v>58143.03</v>
      </c>
      <c r="E55" s="2" t="n">
        <f>SUM(E56:E97)</f>
        <v>58143.03</v>
      </c>
    </row>
    <row r="56">
      <c r="A56" t="s" s="8">
        <v>19</v>
      </c>
      <c r="B56" t="s" s="8">
        <v>106</v>
      </c>
      <c r="C56" t="s" s="8">
        <v>22</v>
      </c>
      <c r="D56" s="8" t="n">
        <v>55181.25</v>
      </c>
      <c r="E56" s="8" t="n">
        <f>C56 * D56</f>
        <v>55181.25</v>
      </c>
      <c r="F56" s="9"/>
      <c r="G56" s="8"/>
    </row>
    <row r="57">
      <c r="A57" t="s" s="10">
        <v>23</v>
      </c>
      <c r="B57" t="s" s="10">
        <v>11</v>
      </c>
      <c r="C57" t="s" s="10">
        <v>24</v>
      </c>
    </row>
    <row r="58">
      <c r="A58" t="s" s="11">
        <v>25</v>
      </c>
      <c r="B58" t="s" s="11">
        <v>26</v>
      </c>
      <c r="C58" t="s" s="11">
        <v>22</v>
      </c>
    </row>
    <row r="59">
      <c r="A59" t="s" s="11">
        <v>27</v>
      </c>
      <c r="B59" t="s" s="11">
        <v>28</v>
      </c>
      <c r="C59" t="s" s="11">
        <v>22</v>
      </c>
    </row>
    <row r="60">
      <c r="A60" t="s" s="11">
        <v>29</v>
      </c>
      <c r="B60" t="s" s="11">
        <v>30</v>
      </c>
      <c r="C60" t="s" s="11">
        <v>22</v>
      </c>
    </row>
    <row r="61">
      <c r="A61" t="s" s="11">
        <v>31</v>
      </c>
      <c r="B61" t="s" s="11">
        <v>32</v>
      </c>
      <c r="C61" t="s" s="11">
        <v>22</v>
      </c>
    </row>
    <row r="62">
      <c r="A62" t="s" s="11">
        <v>33</v>
      </c>
      <c r="B62" t="s" s="11">
        <v>34</v>
      </c>
      <c r="C62" t="s" s="11">
        <v>22</v>
      </c>
    </row>
    <row r="63">
      <c r="A63" t="s" s="11">
        <v>35</v>
      </c>
      <c r="B63" t="s" s="11">
        <v>36</v>
      </c>
      <c r="C63" t="s" s="11">
        <v>22</v>
      </c>
    </row>
    <row r="64">
      <c r="A64" t="s" s="11">
        <v>37</v>
      </c>
      <c r="B64" t="s" s="11">
        <v>38</v>
      </c>
      <c r="C64" t="s" s="11">
        <v>72</v>
      </c>
    </row>
    <row r="65">
      <c r="A65" t="s" s="11">
        <v>40</v>
      </c>
      <c r="B65" t="s" s="11">
        <v>41</v>
      </c>
      <c r="C65" t="s" s="11">
        <v>22</v>
      </c>
    </row>
    <row r="66">
      <c r="A66" t="s" s="11">
        <v>42</v>
      </c>
      <c r="B66" t="s" s="11">
        <v>43</v>
      </c>
      <c r="C66" t="s" s="11">
        <v>22</v>
      </c>
    </row>
    <row r="67">
      <c r="A67" t="s" s="11">
        <v>44</v>
      </c>
      <c r="B67" t="s" s="11">
        <v>45</v>
      </c>
      <c r="C67" t="s" s="11">
        <v>52</v>
      </c>
    </row>
    <row r="68">
      <c r="A68" t="s" s="11">
        <v>46</v>
      </c>
      <c r="B68" t="s" s="11">
        <v>47</v>
      </c>
      <c r="C68" t="s" s="11">
        <v>22</v>
      </c>
    </row>
    <row r="69">
      <c r="A69" t="s" s="11">
        <v>48</v>
      </c>
      <c r="B69" t="s" s="11">
        <v>49</v>
      </c>
      <c r="C69" t="s" s="11">
        <v>22</v>
      </c>
    </row>
    <row r="70">
      <c r="A70" t="s" s="11">
        <v>50</v>
      </c>
      <c r="B70" t="s" s="11">
        <v>51</v>
      </c>
      <c r="C70" t="s" s="11">
        <v>52</v>
      </c>
    </row>
    <row r="71">
      <c r="A71" t="s" s="11">
        <v>53</v>
      </c>
      <c r="B71" t="s" s="11">
        <v>54</v>
      </c>
      <c r="C71" t="s" s="11">
        <v>52</v>
      </c>
    </row>
    <row r="72">
      <c r="A72" t="s" s="11">
        <v>55</v>
      </c>
      <c r="B72" t="s" s="11">
        <v>56</v>
      </c>
      <c r="C72" t="s" s="11">
        <v>57</v>
      </c>
    </row>
    <row r="73">
      <c r="A73" t="s" s="11">
        <v>58</v>
      </c>
      <c r="B73" t="s" s="11">
        <v>59</v>
      </c>
      <c r="C73" t="s" s="11">
        <v>22</v>
      </c>
    </row>
    <row r="74">
      <c r="A74" t="s" s="11">
        <v>60</v>
      </c>
      <c r="B74" t="s" s="11">
        <v>61</v>
      </c>
      <c r="C74" t="s" s="11">
        <v>22</v>
      </c>
    </row>
    <row r="75">
      <c r="A75" t="s" s="11">
        <v>62</v>
      </c>
      <c r="B75" t="s" s="11">
        <v>63</v>
      </c>
      <c r="C75" t="s" s="11">
        <v>22</v>
      </c>
    </row>
    <row r="76">
      <c r="A76" t="s" s="11">
        <v>64</v>
      </c>
      <c r="B76" t="s" s="11">
        <v>65</v>
      </c>
      <c r="C76" t="s" s="11">
        <v>22</v>
      </c>
    </row>
    <row r="77">
      <c r="A77" t="s" s="11">
        <v>66</v>
      </c>
      <c r="B77" t="s" s="11">
        <v>67</v>
      </c>
      <c r="C77" t="s" s="11">
        <v>22</v>
      </c>
    </row>
    <row r="78">
      <c r="A78" t="s" s="11">
        <v>68</v>
      </c>
      <c r="B78" t="s" s="11">
        <v>69</v>
      </c>
      <c r="C78" t="s" s="11">
        <v>22</v>
      </c>
    </row>
    <row r="79">
      <c r="A79" t="s" s="11">
        <v>70</v>
      </c>
      <c r="B79" t="s" s="11">
        <v>71</v>
      </c>
      <c r="C79" t="s" s="11">
        <v>39</v>
      </c>
    </row>
    <row r="80">
      <c r="A80" t="s" s="11">
        <v>73</v>
      </c>
      <c r="B80" t="s" s="11">
        <v>74</v>
      </c>
      <c r="C80" t="s" s="11">
        <v>22</v>
      </c>
    </row>
    <row r="81">
      <c r="A81" t="s" s="11">
        <v>75</v>
      </c>
      <c r="B81" t="s" s="11">
        <v>76</v>
      </c>
      <c r="C81" t="s" s="11">
        <v>52</v>
      </c>
    </row>
    <row r="82">
      <c r="A82" t="s" s="11">
        <v>78</v>
      </c>
      <c r="B82" t="s" s="11">
        <v>79</v>
      </c>
      <c r="C82" t="s" s="11">
        <v>22</v>
      </c>
    </row>
    <row r="83">
      <c r="A83" t="s" s="11">
        <v>80</v>
      </c>
      <c r="B83" t="s" s="11">
        <v>81</v>
      </c>
      <c r="C83" t="s" s="11">
        <v>22</v>
      </c>
    </row>
    <row r="84">
      <c r="A84" t="s" s="11">
        <v>82</v>
      </c>
      <c r="B84" t="s" s="11">
        <v>83</v>
      </c>
      <c r="C84" t="s" s="11">
        <v>22</v>
      </c>
    </row>
    <row r="85">
      <c r="A85" t="s" s="11">
        <v>84</v>
      </c>
      <c r="B85" t="s" s="11">
        <v>85</v>
      </c>
      <c r="C85" t="s" s="11">
        <v>22</v>
      </c>
    </row>
    <row r="86">
      <c r="A86" t="s" s="11">
        <v>86</v>
      </c>
      <c r="B86" t="s" s="11">
        <v>87</v>
      </c>
      <c r="C86" t="s" s="11">
        <v>22</v>
      </c>
    </row>
    <row r="87">
      <c r="A87" t="s" s="11">
        <v>88</v>
      </c>
      <c r="B87" t="s" s="11">
        <v>89</v>
      </c>
      <c r="C87" t="s" s="11">
        <v>22</v>
      </c>
    </row>
    <row r="88">
      <c r="A88" t="s" s="11">
        <v>90</v>
      </c>
      <c r="B88" t="s" s="11">
        <v>91</v>
      </c>
      <c r="C88" t="s" s="11">
        <v>22</v>
      </c>
    </row>
    <row r="89">
      <c r="A89" t="s" s="8">
        <v>92</v>
      </c>
      <c r="B89" t="s" s="8">
        <v>93</v>
      </c>
      <c r="C89" t="s" s="8">
        <v>22</v>
      </c>
      <c r="D89" s="8" t="n">
        <v>303.74</v>
      </c>
      <c r="E89" s="8" t="n">
        <f>C89 * D89</f>
        <v>303.74</v>
      </c>
      <c r="F89" s="9"/>
      <c r="G89" s="8"/>
    </row>
    <row r="90">
      <c r="A90" t="s" s="10">
        <v>23</v>
      </c>
      <c r="B90" t="s" s="10">
        <v>11</v>
      </c>
      <c r="C90" t="s" s="10">
        <v>24</v>
      </c>
    </row>
    <row r="91">
      <c r="A91" t="s" s="11">
        <v>94</v>
      </c>
      <c r="B91" t="s" s="11">
        <v>95</v>
      </c>
      <c r="C91" t="s" s="11">
        <v>22</v>
      </c>
    </row>
    <row r="92">
      <c r="A92" t="s" s="8">
        <v>96</v>
      </c>
      <c r="B92" t="s" s="8">
        <v>97</v>
      </c>
      <c r="C92" t="s" s="8">
        <v>22</v>
      </c>
      <c r="D92" s="8" t="n">
        <v>306.65</v>
      </c>
      <c r="E92" s="8" t="n">
        <f>C92 * D92</f>
        <v>306.65</v>
      </c>
      <c r="F92" s="9"/>
      <c r="G92" s="8"/>
    </row>
    <row r="93">
      <c r="A93" t="s" s="10">
        <v>23</v>
      </c>
      <c r="B93" t="s" s="10">
        <v>11</v>
      </c>
      <c r="C93" t="s" s="10">
        <v>24</v>
      </c>
    </row>
    <row r="94">
      <c r="A94" t="s" s="11">
        <v>98</v>
      </c>
      <c r="B94" t="s" s="11">
        <v>99</v>
      </c>
      <c r="C94" t="s" s="11">
        <v>22</v>
      </c>
    </row>
    <row r="95">
      <c r="A95" t="s" s="8">
        <v>100</v>
      </c>
      <c r="B95" t="s" s="8">
        <v>101</v>
      </c>
      <c r="C95" t="s" s="8">
        <v>22</v>
      </c>
      <c r="D95" s="8" t="n">
        <v>0.0</v>
      </c>
      <c r="E95" s="8" t="n">
        <f>C95 * D95</f>
        <v>0.0</v>
      </c>
      <c r="F95" s="9"/>
      <c r="G95" s="8"/>
    </row>
    <row r="96">
      <c r="A96" t="s" s="8">
        <v>102</v>
      </c>
      <c r="B96" t="s" s="8">
        <v>103</v>
      </c>
      <c r="C96" t="s" s="8">
        <v>22</v>
      </c>
      <c r="D96" s="8" t="n">
        <v>44.81</v>
      </c>
      <c r="E96" s="8" t="n">
        <f>C96 * D96</f>
        <v>44.81</v>
      </c>
      <c r="F96" s="9"/>
      <c r="G96" s="8"/>
    </row>
    <row r="97">
      <c r="A97" t="s" s="8">
        <v>104</v>
      </c>
      <c r="B97" t="s" s="8">
        <v>105</v>
      </c>
      <c r="C97" t="s" s="8">
        <v>22</v>
      </c>
      <c r="D97" s="8" t="n">
        <v>2306.58</v>
      </c>
      <c r="E97" s="8" t="n">
        <f>C97 * D97</f>
        <v>2306.58</v>
      </c>
      <c r="F97" s="9"/>
      <c r="G97" s="8"/>
    </row>
    <row r="98">
      <c r="A98" t="s" s="7">
        <v>19</v>
      </c>
      <c r="B98" t="s" s="7">
        <v>20</v>
      </c>
      <c r="C98" t="s" s="7">
        <v>0</v>
      </c>
      <c r="D98" s="2" t="n">
        <v>35547.65</v>
      </c>
      <c r="E98" s="2" t="n">
        <f>SUM(E99:E140)</f>
        <v>35547.65</v>
      </c>
    </row>
    <row r="99">
      <c r="A99" t="s" s="8">
        <v>19</v>
      </c>
      <c r="B99" t="s" s="8">
        <v>107</v>
      </c>
      <c r="C99" t="s" s="8">
        <v>22</v>
      </c>
      <c r="D99" s="8" t="n">
        <v>33492.46</v>
      </c>
      <c r="E99" s="8" t="n">
        <f>C99 * D99</f>
        <v>33492.46</v>
      </c>
      <c r="F99" s="9"/>
      <c r="G99" s="8"/>
    </row>
    <row r="100">
      <c r="A100" t="s" s="10">
        <v>23</v>
      </c>
      <c r="B100" t="s" s="10">
        <v>11</v>
      </c>
      <c r="C100" t="s" s="10">
        <v>24</v>
      </c>
    </row>
    <row r="101">
      <c r="A101" t="s" s="11">
        <v>25</v>
      </c>
      <c r="B101" t="s" s="11">
        <v>26</v>
      </c>
      <c r="C101" t="s" s="11">
        <v>22</v>
      </c>
    </row>
    <row r="102">
      <c r="A102" t="s" s="11">
        <v>27</v>
      </c>
      <c r="B102" t="s" s="11">
        <v>28</v>
      </c>
      <c r="C102" t="s" s="11">
        <v>22</v>
      </c>
    </row>
    <row r="103">
      <c r="A103" t="s" s="11">
        <v>29</v>
      </c>
      <c r="B103" t="s" s="11">
        <v>30</v>
      </c>
      <c r="C103" t="s" s="11">
        <v>22</v>
      </c>
    </row>
    <row r="104">
      <c r="A104" t="s" s="11">
        <v>108</v>
      </c>
      <c r="B104" t="s" s="11">
        <v>109</v>
      </c>
      <c r="C104" t="s" s="11">
        <v>22</v>
      </c>
    </row>
    <row r="105">
      <c r="A105" t="s" s="11">
        <v>33</v>
      </c>
      <c r="B105" t="s" s="11">
        <v>34</v>
      </c>
      <c r="C105" t="s" s="11">
        <v>22</v>
      </c>
    </row>
    <row r="106">
      <c r="A106" t="s" s="11">
        <v>35</v>
      </c>
      <c r="B106" t="s" s="11">
        <v>36</v>
      </c>
      <c r="C106" t="s" s="11">
        <v>22</v>
      </c>
    </row>
    <row r="107">
      <c r="A107" t="s" s="11">
        <v>110</v>
      </c>
      <c r="B107" t="s" s="11">
        <v>111</v>
      </c>
      <c r="C107" t="s" s="11">
        <v>72</v>
      </c>
    </row>
    <row r="108">
      <c r="A108" t="s" s="11">
        <v>40</v>
      </c>
      <c r="B108" t="s" s="11">
        <v>41</v>
      </c>
      <c r="C108" t="s" s="11">
        <v>22</v>
      </c>
    </row>
    <row r="109">
      <c r="A109" t="s" s="11">
        <v>42</v>
      </c>
      <c r="B109" t="s" s="11">
        <v>43</v>
      </c>
      <c r="C109" t="s" s="11">
        <v>22</v>
      </c>
    </row>
    <row r="110">
      <c r="A110" t="s" s="11">
        <v>112</v>
      </c>
      <c r="B110" t="s" s="11">
        <v>113</v>
      </c>
      <c r="C110" t="s" s="11">
        <v>22</v>
      </c>
    </row>
    <row r="111">
      <c r="A111" t="s" s="11">
        <v>46</v>
      </c>
      <c r="B111" t="s" s="11">
        <v>47</v>
      </c>
      <c r="C111" t="s" s="11">
        <v>22</v>
      </c>
    </row>
    <row r="112">
      <c r="A112" t="s" s="11">
        <v>48</v>
      </c>
      <c r="B112" t="s" s="11">
        <v>49</v>
      </c>
      <c r="C112" t="s" s="11">
        <v>22</v>
      </c>
    </row>
    <row r="113">
      <c r="A113" t="s" s="11">
        <v>50</v>
      </c>
      <c r="B113" t="s" s="11">
        <v>51</v>
      </c>
      <c r="C113" t="s" s="11">
        <v>52</v>
      </c>
    </row>
    <row r="114">
      <c r="A114" t="s" s="11">
        <v>53</v>
      </c>
      <c r="B114" t="s" s="11">
        <v>54</v>
      </c>
      <c r="C114" t="s" s="11">
        <v>52</v>
      </c>
    </row>
    <row r="115">
      <c r="A115" t="s" s="11">
        <v>55</v>
      </c>
      <c r="B115" t="s" s="11">
        <v>56</v>
      </c>
      <c r="C115" t="s" s="11">
        <v>57</v>
      </c>
    </row>
    <row r="116">
      <c r="A116" t="s" s="11">
        <v>58</v>
      </c>
      <c r="B116" t="s" s="11">
        <v>59</v>
      </c>
      <c r="C116" t="s" s="11">
        <v>22</v>
      </c>
    </row>
    <row r="117">
      <c r="A117" t="s" s="11">
        <v>60</v>
      </c>
      <c r="B117" t="s" s="11">
        <v>61</v>
      </c>
      <c r="C117" t="s" s="11">
        <v>22</v>
      </c>
    </row>
    <row r="118">
      <c r="A118" t="s" s="11">
        <v>62</v>
      </c>
      <c r="B118" t="s" s="11">
        <v>63</v>
      </c>
      <c r="C118" t="s" s="11">
        <v>22</v>
      </c>
    </row>
    <row r="119">
      <c r="A119" t="s" s="11">
        <v>114</v>
      </c>
      <c r="B119" t="s" s="11">
        <v>115</v>
      </c>
      <c r="C119" t="s" s="11">
        <v>22</v>
      </c>
    </row>
    <row r="120">
      <c r="A120" t="s" s="11">
        <v>66</v>
      </c>
      <c r="B120" t="s" s="11">
        <v>67</v>
      </c>
      <c r="C120" t="s" s="11">
        <v>22</v>
      </c>
    </row>
    <row r="121">
      <c r="A121" t="s" s="11">
        <v>68</v>
      </c>
      <c r="B121" t="s" s="11">
        <v>69</v>
      </c>
      <c r="C121" t="s" s="11">
        <v>22</v>
      </c>
    </row>
    <row r="122">
      <c r="A122" t="s" s="11">
        <v>70</v>
      </c>
      <c r="B122" t="s" s="11">
        <v>71</v>
      </c>
      <c r="C122" t="s" s="11">
        <v>39</v>
      </c>
    </row>
    <row r="123">
      <c r="A123" t="s" s="11">
        <v>73</v>
      </c>
      <c r="B123" t="s" s="11">
        <v>74</v>
      </c>
      <c r="C123" t="s" s="11">
        <v>22</v>
      </c>
    </row>
    <row r="124">
      <c r="A124" t="s" s="11">
        <v>75</v>
      </c>
      <c r="B124" t="s" s="11">
        <v>76</v>
      </c>
      <c r="C124" t="s" s="11">
        <v>77</v>
      </c>
    </row>
    <row r="125">
      <c r="A125" t="s" s="11">
        <v>78</v>
      </c>
      <c r="B125" t="s" s="11">
        <v>79</v>
      </c>
      <c r="C125" t="s" s="11">
        <v>22</v>
      </c>
    </row>
    <row r="126">
      <c r="A126" t="s" s="11">
        <v>80</v>
      </c>
      <c r="B126" t="s" s="11">
        <v>81</v>
      </c>
      <c r="C126" t="s" s="11">
        <v>22</v>
      </c>
    </row>
    <row r="127">
      <c r="A127" t="s" s="11">
        <v>82</v>
      </c>
      <c r="B127" t="s" s="11">
        <v>83</v>
      </c>
      <c r="C127" t="s" s="11">
        <v>22</v>
      </c>
    </row>
    <row r="128">
      <c r="A128" t="s" s="11">
        <v>84</v>
      </c>
      <c r="B128" t="s" s="11">
        <v>85</v>
      </c>
      <c r="C128" t="s" s="11">
        <v>22</v>
      </c>
    </row>
    <row r="129">
      <c r="A129" t="s" s="11">
        <v>86</v>
      </c>
      <c r="B129" t="s" s="11">
        <v>87</v>
      </c>
      <c r="C129" t="s" s="11">
        <v>22</v>
      </c>
    </row>
    <row r="130">
      <c r="A130" t="s" s="11">
        <v>116</v>
      </c>
      <c r="B130" t="s" s="11">
        <v>117</v>
      </c>
      <c r="C130" t="s" s="11">
        <v>22</v>
      </c>
    </row>
    <row r="131">
      <c r="A131" t="s" s="11">
        <v>90</v>
      </c>
      <c r="B131" t="s" s="11">
        <v>91</v>
      </c>
      <c r="C131" t="s" s="11">
        <v>22</v>
      </c>
    </row>
    <row r="132">
      <c r="A132" t="s" s="8">
        <v>92</v>
      </c>
      <c r="B132" t="s" s="8">
        <v>93</v>
      </c>
      <c r="C132" t="s" s="8">
        <v>22</v>
      </c>
      <c r="D132" s="8" t="n">
        <v>303.74</v>
      </c>
      <c r="E132" s="8" t="n">
        <f>C132 * D132</f>
        <v>303.74</v>
      </c>
      <c r="F132" s="9"/>
      <c r="G132" s="8"/>
    </row>
    <row r="133">
      <c r="A133" t="s" s="10">
        <v>23</v>
      </c>
      <c r="B133" t="s" s="10">
        <v>11</v>
      </c>
      <c r="C133" t="s" s="10">
        <v>24</v>
      </c>
    </row>
    <row r="134">
      <c r="A134" t="s" s="11">
        <v>94</v>
      </c>
      <c r="B134" t="s" s="11">
        <v>95</v>
      </c>
      <c r="C134" t="s" s="11">
        <v>22</v>
      </c>
    </row>
    <row r="135">
      <c r="A135" t="s" s="8">
        <v>96</v>
      </c>
      <c r="B135" t="s" s="8">
        <v>97</v>
      </c>
      <c r="C135" t="s" s="8">
        <v>22</v>
      </c>
      <c r="D135" s="8" t="n">
        <v>306.65</v>
      </c>
      <c r="E135" s="8" t="n">
        <f>C135 * D135</f>
        <v>306.65</v>
      </c>
      <c r="F135" s="9"/>
      <c r="G135" s="8"/>
    </row>
    <row r="136">
      <c r="A136" t="s" s="10">
        <v>23</v>
      </c>
      <c r="B136" t="s" s="10">
        <v>11</v>
      </c>
      <c r="C136" t="s" s="10">
        <v>24</v>
      </c>
    </row>
    <row r="137">
      <c r="A137" t="s" s="11">
        <v>98</v>
      </c>
      <c r="B137" t="s" s="11">
        <v>99</v>
      </c>
      <c r="C137" t="s" s="11">
        <v>22</v>
      </c>
    </row>
    <row r="138">
      <c r="A138" t="s" s="8">
        <v>100</v>
      </c>
      <c r="B138" t="s" s="8">
        <v>101</v>
      </c>
      <c r="C138" t="s" s="8">
        <v>22</v>
      </c>
      <c r="D138" s="8" t="n">
        <v>0.0</v>
      </c>
      <c r="E138" s="8" t="n">
        <f>C138 * D138</f>
        <v>0.0</v>
      </c>
      <c r="F138" s="9"/>
      <c r="G138" s="8"/>
    </row>
    <row r="139">
      <c r="A139" t="s" s="8">
        <v>102</v>
      </c>
      <c r="B139" t="s" s="8">
        <v>103</v>
      </c>
      <c r="C139" t="s" s="8">
        <v>22</v>
      </c>
      <c r="D139" s="8" t="n">
        <v>44.81</v>
      </c>
      <c r="E139" s="8" t="n">
        <f>C139 * D139</f>
        <v>44.81</v>
      </c>
      <c r="F139" s="9"/>
      <c r="G139" s="8"/>
    </row>
    <row r="140">
      <c r="A140" t="s" s="8">
        <v>104</v>
      </c>
      <c r="B140" t="s" s="8">
        <v>105</v>
      </c>
      <c r="C140" t="s" s="8">
        <v>22</v>
      </c>
      <c r="D140" s="8" t="n">
        <v>1399.99</v>
      </c>
      <c r="E140" s="8" t="n">
        <f>C140 * D140</f>
        <v>1399.99</v>
      </c>
      <c r="F140" s="9"/>
      <c r="G140" s="8"/>
    </row>
    <row r="141">
      <c r="A141" t="s" s="7">
        <v>19</v>
      </c>
      <c r="B141" t="s" s="7">
        <v>20</v>
      </c>
      <c r="C141" t="s" s="7">
        <v>0</v>
      </c>
      <c r="D141" s="2" t="n">
        <v>54141.9</v>
      </c>
      <c r="E141" s="2" t="n">
        <f>SUM(E142:E183)</f>
        <v>54141.9</v>
      </c>
    </row>
    <row r="142">
      <c r="A142" t="s" s="8">
        <v>19</v>
      </c>
      <c r="B142" t="s" s="8">
        <v>118</v>
      </c>
      <c r="C142" t="s" s="8">
        <v>22</v>
      </c>
      <c r="D142" s="8" t="n">
        <v>51340.66</v>
      </c>
      <c r="E142" s="8" t="n">
        <f>C142 * D142</f>
        <v>51340.66</v>
      </c>
      <c r="F142" s="9"/>
      <c r="G142" s="8"/>
    </row>
    <row r="143">
      <c r="A143" t="s" s="10">
        <v>23</v>
      </c>
      <c r="B143" t="s" s="10">
        <v>11</v>
      </c>
      <c r="C143" t="s" s="10">
        <v>24</v>
      </c>
    </row>
    <row r="144">
      <c r="A144" t="s" s="11">
        <v>25</v>
      </c>
      <c r="B144" t="s" s="11">
        <v>26</v>
      </c>
      <c r="C144" t="s" s="11">
        <v>22</v>
      </c>
    </row>
    <row r="145">
      <c r="A145" t="s" s="11">
        <v>27</v>
      </c>
      <c r="B145" t="s" s="11">
        <v>28</v>
      </c>
      <c r="C145" t="s" s="11">
        <v>22</v>
      </c>
    </row>
    <row r="146">
      <c r="A146" t="s" s="11">
        <v>29</v>
      </c>
      <c r="B146" t="s" s="11">
        <v>30</v>
      </c>
      <c r="C146" t="s" s="11">
        <v>22</v>
      </c>
    </row>
    <row r="147">
      <c r="A147" t="s" s="11">
        <v>108</v>
      </c>
      <c r="B147" t="s" s="11">
        <v>109</v>
      </c>
      <c r="C147" t="s" s="11">
        <v>22</v>
      </c>
    </row>
    <row r="148">
      <c r="A148" t="s" s="11">
        <v>33</v>
      </c>
      <c r="B148" t="s" s="11">
        <v>34</v>
      </c>
      <c r="C148" t="s" s="11">
        <v>22</v>
      </c>
    </row>
    <row r="149">
      <c r="A149" t="s" s="11">
        <v>35</v>
      </c>
      <c r="B149" t="s" s="11">
        <v>36</v>
      </c>
      <c r="C149" t="s" s="11">
        <v>22</v>
      </c>
    </row>
    <row r="150">
      <c r="A150" t="s" s="11">
        <v>119</v>
      </c>
      <c r="B150" t="s" s="11">
        <v>120</v>
      </c>
      <c r="C150" t="s" s="11">
        <v>72</v>
      </c>
    </row>
    <row r="151">
      <c r="A151" t="s" s="11">
        <v>40</v>
      </c>
      <c r="B151" t="s" s="11">
        <v>41</v>
      </c>
      <c r="C151" t="s" s="11">
        <v>22</v>
      </c>
    </row>
    <row r="152">
      <c r="A152" t="s" s="11">
        <v>42</v>
      </c>
      <c r="B152" t="s" s="11">
        <v>43</v>
      </c>
      <c r="C152" t="s" s="11">
        <v>22</v>
      </c>
    </row>
    <row r="153">
      <c r="A153" t="s" s="11">
        <v>44</v>
      </c>
      <c r="B153" t="s" s="11">
        <v>45</v>
      </c>
      <c r="C153" t="s" s="11">
        <v>22</v>
      </c>
    </row>
    <row r="154">
      <c r="A154" t="s" s="11">
        <v>46</v>
      </c>
      <c r="B154" t="s" s="11">
        <v>47</v>
      </c>
      <c r="C154" t="s" s="11">
        <v>22</v>
      </c>
    </row>
    <row r="155">
      <c r="A155" t="s" s="11">
        <v>48</v>
      </c>
      <c r="B155" t="s" s="11">
        <v>49</v>
      </c>
      <c r="C155" t="s" s="11">
        <v>22</v>
      </c>
    </row>
    <row r="156">
      <c r="A156" t="s" s="11">
        <v>50</v>
      </c>
      <c r="B156" t="s" s="11">
        <v>51</v>
      </c>
      <c r="C156" t="s" s="11">
        <v>52</v>
      </c>
    </row>
    <row r="157">
      <c r="A157" t="s" s="11">
        <v>53</v>
      </c>
      <c r="B157" t="s" s="11">
        <v>54</v>
      </c>
      <c r="C157" t="s" s="11">
        <v>52</v>
      </c>
    </row>
    <row r="158">
      <c r="A158" t="s" s="11">
        <v>55</v>
      </c>
      <c r="B158" t="s" s="11">
        <v>56</v>
      </c>
      <c r="C158" t="s" s="11">
        <v>57</v>
      </c>
    </row>
    <row r="159">
      <c r="A159" t="s" s="11">
        <v>58</v>
      </c>
      <c r="B159" t="s" s="11">
        <v>59</v>
      </c>
      <c r="C159" t="s" s="11">
        <v>22</v>
      </c>
    </row>
    <row r="160">
      <c r="A160" t="s" s="11">
        <v>60</v>
      </c>
      <c r="B160" t="s" s="11">
        <v>61</v>
      </c>
      <c r="C160" t="s" s="11">
        <v>22</v>
      </c>
    </row>
    <row r="161">
      <c r="A161" t="s" s="11">
        <v>62</v>
      </c>
      <c r="B161" t="s" s="11">
        <v>63</v>
      </c>
      <c r="C161" t="s" s="11">
        <v>22</v>
      </c>
    </row>
    <row r="162">
      <c r="A162" t="s" s="11">
        <v>114</v>
      </c>
      <c r="B162" t="s" s="11">
        <v>115</v>
      </c>
      <c r="C162" t="s" s="11">
        <v>22</v>
      </c>
    </row>
    <row r="163">
      <c r="A163" t="s" s="11">
        <v>66</v>
      </c>
      <c r="B163" t="s" s="11">
        <v>67</v>
      </c>
      <c r="C163" t="s" s="11">
        <v>22</v>
      </c>
    </row>
    <row r="164">
      <c r="A164" t="s" s="11">
        <v>68</v>
      </c>
      <c r="B164" t="s" s="11">
        <v>69</v>
      </c>
      <c r="C164" t="s" s="11">
        <v>22</v>
      </c>
    </row>
    <row r="165">
      <c r="A165" t="s" s="11">
        <v>70</v>
      </c>
      <c r="B165" t="s" s="11">
        <v>71</v>
      </c>
      <c r="C165" t="s" s="11">
        <v>39</v>
      </c>
    </row>
    <row r="166">
      <c r="A166" t="s" s="11">
        <v>73</v>
      </c>
      <c r="B166" t="s" s="11">
        <v>74</v>
      </c>
      <c r="C166" t="s" s="11">
        <v>22</v>
      </c>
    </row>
    <row r="167">
      <c r="A167" t="s" s="11">
        <v>75</v>
      </c>
      <c r="B167" t="s" s="11">
        <v>76</v>
      </c>
      <c r="C167" t="s" s="11">
        <v>77</v>
      </c>
    </row>
    <row r="168">
      <c r="A168" t="s" s="11">
        <v>78</v>
      </c>
      <c r="B168" t="s" s="11">
        <v>79</v>
      </c>
      <c r="C168" t="s" s="11">
        <v>22</v>
      </c>
    </row>
    <row r="169">
      <c r="A169" t="s" s="11">
        <v>80</v>
      </c>
      <c r="B169" t="s" s="11">
        <v>81</v>
      </c>
      <c r="C169" t="s" s="11">
        <v>22</v>
      </c>
    </row>
    <row r="170">
      <c r="A170" t="s" s="11">
        <v>82</v>
      </c>
      <c r="B170" t="s" s="11">
        <v>83</v>
      </c>
      <c r="C170" t="s" s="11">
        <v>22</v>
      </c>
    </row>
    <row r="171">
      <c r="A171" t="s" s="11">
        <v>84</v>
      </c>
      <c r="B171" t="s" s="11">
        <v>85</v>
      </c>
      <c r="C171" t="s" s="11">
        <v>22</v>
      </c>
    </row>
    <row r="172">
      <c r="A172" t="s" s="11">
        <v>86</v>
      </c>
      <c r="B172" t="s" s="11">
        <v>87</v>
      </c>
      <c r="C172" t="s" s="11">
        <v>22</v>
      </c>
    </row>
    <row r="173">
      <c r="A173" t="s" s="11">
        <v>116</v>
      </c>
      <c r="B173" t="s" s="11">
        <v>117</v>
      </c>
      <c r="C173" t="s" s="11">
        <v>22</v>
      </c>
    </row>
    <row r="174">
      <c r="A174" t="s" s="11">
        <v>90</v>
      </c>
      <c r="B174" t="s" s="11">
        <v>91</v>
      </c>
      <c r="C174" t="s" s="11">
        <v>22</v>
      </c>
    </row>
    <row r="175">
      <c r="A175" t="s" s="8">
        <v>92</v>
      </c>
      <c r="B175" t="s" s="8">
        <v>93</v>
      </c>
      <c r="C175" t="s" s="8">
        <v>22</v>
      </c>
      <c r="D175" s="8" t="n">
        <v>303.74</v>
      </c>
      <c r="E175" s="8" t="n">
        <f>C175 * D175</f>
        <v>303.74</v>
      </c>
      <c r="F175" s="9"/>
      <c r="G175" s="8"/>
    </row>
    <row r="176">
      <c r="A176" t="s" s="10">
        <v>23</v>
      </c>
      <c r="B176" t="s" s="10">
        <v>11</v>
      </c>
      <c r="C176" t="s" s="10">
        <v>24</v>
      </c>
    </row>
    <row r="177">
      <c r="A177" t="s" s="11">
        <v>94</v>
      </c>
      <c r="B177" t="s" s="11">
        <v>95</v>
      </c>
      <c r="C177" t="s" s="11">
        <v>22</v>
      </c>
    </row>
    <row r="178">
      <c r="A178" t="s" s="8">
        <v>96</v>
      </c>
      <c r="B178" t="s" s="8">
        <v>97</v>
      </c>
      <c r="C178" t="s" s="8">
        <v>22</v>
      </c>
      <c r="D178" s="8" t="n">
        <v>306.65</v>
      </c>
      <c r="E178" s="8" t="n">
        <f>C178 * D178</f>
        <v>306.65</v>
      </c>
      <c r="F178" s="9"/>
      <c r="G178" s="8"/>
    </row>
    <row r="179">
      <c r="A179" t="s" s="10">
        <v>23</v>
      </c>
      <c r="B179" t="s" s="10">
        <v>11</v>
      </c>
      <c r="C179" t="s" s="10">
        <v>24</v>
      </c>
    </row>
    <row r="180">
      <c r="A180" t="s" s="11">
        <v>98</v>
      </c>
      <c r="B180" t="s" s="11">
        <v>99</v>
      </c>
      <c r="C180" t="s" s="11">
        <v>22</v>
      </c>
    </row>
    <row r="181">
      <c r="A181" t="s" s="8">
        <v>100</v>
      </c>
      <c r="B181" t="s" s="8">
        <v>101</v>
      </c>
      <c r="C181" t="s" s="8">
        <v>22</v>
      </c>
      <c r="D181" s="8" t="n">
        <v>0.0</v>
      </c>
      <c r="E181" s="8" t="n">
        <f>C181 * D181</f>
        <v>0.0</v>
      </c>
      <c r="F181" s="9"/>
      <c r="G181" s="8"/>
    </row>
    <row r="182">
      <c r="A182" t="s" s="8">
        <v>102</v>
      </c>
      <c r="B182" t="s" s="8">
        <v>103</v>
      </c>
      <c r="C182" t="s" s="8">
        <v>22</v>
      </c>
      <c r="D182" s="8" t="n">
        <v>44.81</v>
      </c>
      <c r="E182" s="8" t="n">
        <f>C182 * D182</f>
        <v>44.81</v>
      </c>
      <c r="F182" s="9"/>
      <c r="G182" s="8"/>
    </row>
    <row r="183">
      <c r="A183" t="s" s="8">
        <v>104</v>
      </c>
      <c r="B183" t="s" s="8">
        <v>105</v>
      </c>
      <c r="C183" t="s" s="8">
        <v>22</v>
      </c>
      <c r="D183" s="8" t="n">
        <v>2146.04</v>
      </c>
      <c r="E183" s="8" t="n">
        <f>C183 * D183</f>
        <v>2146.04</v>
      </c>
      <c r="F183" s="9"/>
      <c r="G183" s="8"/>
    </row>
    <row r="184">
      <c r="A184" t="s" s="8">
        <v>0</v>
      </c>
      <c r="B184" t="s" s="8">
        <v>0</v>
      </c>
      <c r="C184" t="s" s="8">
        <v>0</v>
      </c>
      <c r="D184" t="s" s="8">
        <v>121</v>
      </c>
      <c r="E184" s="8" t="n">
        <f>SUM(E12:E183)  - E12 - E55 - E98 - E141</f>
        <v>183932.9</v>
      </c>
    </row>
    <row r="185"/>
    <row r="186">
      <c r="A186" t="s" s="12">
        <v>122</v>
      </c>
      <c r="B186" s="12"/>
      <c r="C186" t="s" s="12">
        <v>123</v>
      </c>
    </row>
  </sheetData>
  <mergeCells>
    <mergeCell ref="B1:G1"/>
    <mergeCell ref="B2:F2"/>
    <mergeCell ref="D3:E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ns0:coreProperties xmlns:dc="http://purl.org/dc/elements/1.1/" xmlns:ns0="http://schemas.openxmlformats.org/package/2006/metadata/core-properties" xmlns:ns1="http://purl.org/dc/terms/" xmlns:xsi="http://www.w3.org/2001/XMLSchema-instance" xmlns:dcterms="http://purl.org/dc/terms/">
  <ns1:created xsi:type="dcterms:W3CDTF">2026-08-11T22:18:18Z</ns1:created>
  <dc:creator>BidParser</dc:creator>
</ns0:coreProperties>
</file>