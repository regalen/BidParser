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enovo Bid Platform Bid Request" r:id="rId3" sheetId="1"/>
  </sheets>
</workbook>
</file>

<file path=xl/sharedStrings.xml><?xml version="1.0" encoding="utf-8"?>
<sst xmlns="http://schemas.openxmlformats.org/spreadsheetml/2006/main" count="186" uniqueCount="107">
  <si>
    <t/>
  </si>
  <si>
    <t>Sample Lenovo LBP-E Quote 1</t>
  </si>
  <si>
    <t>Prepared By: parser.tester@example.invalid</t>
  </si>
  <si>
    <t>Prepared for: SAMPLE RESELLER PTY LTD</t>
  </si>
  <si>
    <t>For End Customer: SAMPLE CUSTOMER PTY LTD</t>
  </si>
  <si>
    <t>Expiry Date: 20-Aug-2026 00:00:00</t>
  </si>
  <si>
    <t>Created Date: 06-Aug-2026 02:06:47</t>
  </si>
  <si>
    <t>Bid Request Number: BRDADTEST0001</t>
  </si>
  <si>
    <t>Version#: 1</t>
  </si>
  <si>
    <t>Notwithstanding the stated price validity period, Lenovo retains the right to revise pricing prior to order confirmation where there is a material fluctuation in market prices for key components. Any such adjustment shall be notified in writing and subject to mutual agreement before proceeding with supply.
All pricing shown is exclusive of Local Sales Tax and is estimated pricing. For official confirmation please use the ‘Confirm bid request’ button. The Ts&amp;Cs apply to all pricing which can also be viewed on the bid request.</t>
  </si>
  <si>
    <t>PN</t>
  </si>
  <si>
    <t>Description</t>
  </si>
  <si>
    <t>Requested Quantity</t>
  </si>
  <si>
    <t>Estimated Price (AUD)</t>
  </si>
  <si>
    <t>ESD</t>
  </si>
  <si>
    <t>'</t>
  </si>
  <si>
    <t>(per unit)</t>
  </si>
  <si>
    <t>(quantity x unit price)</t>
  </si>
  <si>
    <t>Set from Configurator(Config 1) SIDTEST0001</t>
  </si>
  <si>
    <t>7D9CCTO1WW</t>
  </si>
  <si>
    <t>Subtotal</t>
  </si>
  <si>
    <t>Server ThinkSystem SR645 V3-3yr Base Warranty</t>
  </si>
  <si>
    <t>1</t>
  </si>
  <si>
    <t>Feature Code</t>
  </si>
  <si>
    <t>Qty</t>
  </si>
  <si>
    <t>BLK4</t>
  </si>
  <si>
    <t>ThinkSystem V3 1U 10x2.5" Chassis</t>
  </si>
  <si>
    <t>BFYA</t>
  </si>
  <si>
    <t>Operating mode selection for:  "Maximum Efficiency Mode"</t>
  </si>
  <si>
    <t>BVGL</t>
  </si>
  <si>
    <t>Data Center Environment 30 Degree Celsius / 86 Degree Fahrenheit</t>
  </si>
  <si>
    <t>BREC</t>
  </si>
  <si>
    <t>AMD EPYC 9334 32C 210W 2.7GHz Processor</t>
  </si>
  <si>
    <t>BQ26</t>
  </si>
  <si>
    <t>ThinkSystem SR645 V3/SR635 V3 Performance Heatsink (Neptune Air)</t>
  </si>
  <si>
    <t>C0DF</t>
  </si>
  <si>
    <t>Platform Secure Boot Enable</t>
  </si>
  <si>
    <t>BQ37</t>
  </si>
  <si>
    <t>ThinkSystem 32GB TruDDR5 4800MHz (2Rx8) RDIMM-A</t>
  </si>
  <si>
    <t>8</t>
  </si>
  <si>
    <t>5977</t>
  </si>
  <si>
    <t>Select Storage devices - no configured RAID required</t>
  </si>
  <si>
    <t>BM51</t>
  </si>
  <si>
    <t>ThinkSystem 440-8i SAS/SATA PCIe Gen4 12Gb HBA</t>
  </si>
  <si>
    <t>BYM5</t>
  </si>
  <si>
    <t>ThinkSystem 2.5" VA 1.92TB Mixed Use SATA 6Gb HS SSD v2</t>
  </si>
  <si>
    <t>B8N0</t>
  </si>
  <si>
    <t>ThinkSystem 1U 8x2.5" SAS/SATA Backplane</t>
  </si>
  <si>
    <t>B8P9</t>
  </si>
  <si>
    <t>ThinkSystem M.2 NVMe 2-Bay RAID Adapter</t>
  </si>
  <si>
    <t>BTTY</t>
  </si>
  <si>
    <t>M.2 NVMe</t>
  </si>
  <si>
    <t>CBSZ</t>
  </si>
  <si>
    <t>ThinkSystem M.2 VA 480GB Read Intensive NVMe PCIe 4.0 x4 NHS SSD</t>
  </si>
  <si>
    <t>2</t>
  </si>
  <si>
    <t>BPPW</t>
  </si>
  <si>
    <t>ThinkSystem Broadcom 57504 10/25GbE SFP28 4-Port OCP Ethernet Adapter</t>
  </si>
  <si>
    <t>BLKB</t>
  </si>
  <si>
    <t>ThinkSystem V3 1U x16/x16 BF PCIe Gen5 Riser1</t>
  </si>
  <si>
    <t>BLK8</t>
  </si>
  <si>
    <t>ThinkSystem V3 1U LP+FH BF Riser Cage</t>
  </si>
  <si>
    <t>BNFH</t>
  </si>
  <si>
    <t>ThinkSystem 1100W 230V/115V Platinum Hot-Swap Gen2 Power Supply v3</t>
  </si>
  <si>
    <t>6400</t>
  </si>
  <si>
    <t>2.8m, 13A/100-250V, C13 to C14 Jumper Cord</t>
  </si>
  <si>
    <t>BH9N</t>
  </si>
  <si>
    <t>ThinkSystem V3 1U Standard Fan Option Kit v2</t>
  </si>
  <si>
    <t>6</t>
  </si>
  <si>
    <t>BLKD</t>
  </si>
  <si>
    <t>ThinkSystem 1U V3 10x2.5" Media Bay w/ Ext. Diagnostics Port</t>
  </si>
  <si>
    <t>B8LC</t>
  </si>
  <si>
    <t>ThinkSystem Toolless Slide Rail Kit v2 with 1U CMA</t>
  </si>
  <si>
    <t>BPKQ</t>
  </si>
  <si>
    <t>TPM 2.0 with Secure Boot</t>
  </si>
  <si>
    <t>BRPJ</t>
  </si>
  <si>
    <t>XCC Platinum</t>
  </si>
  <si>
    <t>BQ2A</t>
  </si>
  <si>
    <t>ThinkSystem SR645 V3 MB</t>
  </si>
  <si>
    <t>C8WR</t>
  </si>
  <si>
    <t>SR645 V3 Laser service indicator</t>
  </si>
  <si>
    <t>BQ2D</t>
  </si>
  <si>
    <t>ThinkSystem MS CPU Dummy</t>
  </si>
  <si>
    <t>B8NK</t>
  </si>
  <si>
    <t>ThinkSystem 1U Super Cap Holder Dummy</t>
  </si>
  <si>
    <t>B8NJ</t>
  </si>
  <si>
    <t>ThinkSystem 1U MS Fan Dummy</t>
  </si>
  <si>
    <t>B5X6</t>
  </si>
  <si>
    <t>ThinkSystem 1U 2x2.5" Fixed Filler</t>
  </si>
  <si>
    <t>BQ2P</t>
  </si>
  <si>
    <t>ThinkSystem SR645 V3 Absolut-RoW RoT Module</t>
  </si>
  <si>
    <t>7S0XCTO6WW</t>
  </si>
  <si>
    <t>software1 XClarity One</t>
  </si>
  <si>
    <t>SCJE</t>
  </si>
  <si>
    <t>XClarity One - Standard, Per Endpoint w/5 Yr SW S&amp;S</t>
  </si>
  <si>
    <t>5374CM1</t>
  </si>
  <si>
    <t>software2 Configuration Instruction</t>
  </si>
  <si>
    <t>7S0XCTO5WW</t>
  </si>
  <si>
    <t>software3 XClarity Controller Platin-FOD</t>
  </si>
  <si>
    <t>SBCV</t>
  </si>
  <si>
    <t>Lenovo XClarity XCC2 Platinum Upgrade (FOD)</t>
  </si>
  <si>
    <t>5PS7C00924</t>
  </si>
  <si>
    <t>5Yr KYD Add-On SR645 V3</t>
  </si>
  <si>
    <t>5WS7C00909</t>
  </si>
  <si>
    <t>5Yr Premier NBD Resp SR645 V3</t>
  </si>
  <si>
    <t>Total:</t>
  </si>
  <si>
    <t>Discount Codes Applied</t>
  </si>
  <si>
    <t>Discount Value</t>
  </si>
</sst>
</file>

<file path=xl/styles.xml><?xml version="1.0" encoding="utf-8"?>
<styleSheet xmlns="http://schemas.openxmlformats.org/spreadsheetml/2006/main">
  <numFmts count="1">
    <numFmt numFmtId="164" formatCode="#,#0"/>
  </numFmts>
  <fonts count="65">
    <font>
      <sz val="11.0"/>
      <color indexed="8"/>
      <name val="Calibri"/>
      <family val="2"/>
      <scheme val="minor"/>
    </font>
    <font>
      <name val="Arial"/>
      <sz val="10.0"/>
    </font>
    <font>
      <name val="Arial"/>
      <sz val="22.0"/>
      <color indexed="9"/>
      <b val="true"/>
    </font>
    <font>
      <name val="Arial"/>
      <sz val="10.0"/>
    </font>
    <font>
      <name val="Arial"/>
      <sz val="10.0"/>
    </font>
    <font>
      <name val="Arial"/>
      <sz val="10.0"/>
    </font>
    <font>
      <name val="Arial"/>
      <sz val="10.0"/>
    </font>
    <font>
      <name val="Arial"/>
      <sz val="11.0"/>
      <color indexed="9"/>
      <b val="true"/>
    </font>
    <font>
      <name val="Arial"/>
      <sz val="10.0"/>
    </font>
    <font>
      <name val="Arial"/>
      <sz val="10.0"/>
    </font>
    <font>
      <name val="Arial"/>
      <sz val="10.0"/>
    </font>
    <font>
      <name val="Arial"/>
      <sz val="10.0"/>
    </font>
    <font>
      <name val="Arial"/>
      <sz val="10.0"/>
      <b val="true"/>
    </font>
    <font>
      <name val="Arial"/>
      <sz val="10.0"/>
      <b val="true"/>
    </font>
    <font>
      <name val="Arial"/>
      <sz val="10.0"/>
    </font>
    <font>
      <name val="Arial"/>
      <sz val="11.0"/>
    </font>
    <font>
      <name val="Arial"/>
      <sz val="10.0"/>
      <color indexed="9"/>
    </font>
    <font>
      <name val="Arial"/>
      <sz val="1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Arial"/>
      <sz val="10.0"/>
    </font>
    <font>
      <name val="Arial"/>
      <sz val="10.0"/>
      <b val="true"/>
    </font>
  </fonts>
  <fills count="5">
    <fill>
      <patternFill patternType="none"/>
    </fill>
    <fill>
      <patternFill patternType="darkGray"/>
    </fill>
    <fill>
      <patternFill patternType="solid"/>
    </fill>
    <fill>
      <patternFill patternType="solid">
        <fgColor rgb="D40915"/>
      </patternFill>
    </fill>
    <fill>
      <patternFill patternType="solid">
        <fgColor rgb="750207"/>
      </patternFill>
    </fill>
  </fills>
  <borders count="1">
    <border>
      <left/>
      <right/>
      <top/>
      <bottom/>
      <diagonal/>
    </border>
  </borders>
  <cellStyleXfs count="1">
    <xf numFmtId="0" fontId="0" fillId="0" borderId="0"/>
  </cellStyleXfs>
  <cellXfs count="13">
    <xf numFmtId="0" fontId="0" fillId="0" borderId="0" xfId="0"/>
    <xf numFmtId="0" fontId="63" fillId="0" borderId="0" xfId="0" applyFont="true">
      <alignment horizontal="left" vertical="bottom"/>
    </xf>
    <xf numFmtId="4" fontId="1" fillId="0" borderId="0" xfId="0" applyFont="true" applyNumberFormat="true">
      <alignment horizontal="left"/>
    </xf>
    <xf numFmtId="0" fontId="2" fillId="3" borderId="0" xfId="0" applyFont="true" applyFill="true"/>
    <xf numFmtId="0" fontId="6" fillId="0" borderId="0" xfId="0" applyFont="true">
      <alignment wrapText="true"/>
    </xf>
    <xf numFmtId="0" fontId="7" fillId="4" borderId="0" xfId="0" applyFont="true" applyFill="true">
      <alignment wrapText="true" horizontal="center"/>
    </xf>
    <xf numFmtId="0" fontId="12" fillId="0" borderId="0" xfId="0" applyFont="true">
      <alignment vertical="center"/>
    </xf>
    <xf numFmtId="4" fontId="13" fillId="0" borderId="0" xfId="0" applyFont="true" applyNumberFormat="true">
      <alignment horizontal="right"/>
    </xf>
    <xf numFmtId="4" fontId="14" fillId="0" borderId="0" xfId="0" applyFont="true" applyNumberFormat="true">
      <alignment wrapText="true" horizontal="left"/>
    </xf>
    <xf numFmtId="0" fontId="15" fillId="0" borderId="0" xfId="0" applyFont="true">
      <alignment wrapText="true" horizontal="left"/>
    </xf>
    <xf numFmtId="0" fontId="16" fillId="4" borderId="0" xfId="0" applyFont="true" applyFill="true"/>
    <xf numFmtId="0" fontId="17" fillId="0" borderId="0" xfId="0" applyFont="true"/>
    <xf numFmtId="0" fontId="64"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baseColWidth="15"/>
  <cols>
    <col min="2" max="2" width="46.875" customWidth="true"/>
  </cols>
  <sheetData>
    <row r="1">
      <c r="A1" t="s" s="3">
        <v>0</v>
      </c>
      <c r="B1" t="s" s="3">
        <v>1</v>
      </c>
      <c r="C1" t="s" s="3">
        <v>0</v>
      </c>
      <c r="D1" t="s" s="3">
        <v>0</v>
      </c>
      <c r="E1" t="s" s="3">
        <v>0</v>
      </c>
      <c r="F1" t="s" s="3">
        <v>0</v>
      </c>
      <c r="G1" t="s" s="3">
        <v>0</v>
      </c>
      <c r="H1" t="s" s="3">
        <v>0</v>
      </c>
      <c r="I1" t="s" s="3">
        <v>0</v>
      </c>
      <c r="J1" t="s" s="3">
        <v>0</v>
      </c>
      <c r="K1" t="s" s="3">
        <v>0</v>
      </c>
      <c r="L1" t="s" s="3">
        <v>0</v>
      </c>
    </row>
    <row r="2">
      <c r="A2" t="s" s="1">
        <v>0</v>
      </c>
      <c r="B2" t="s" s="1">
        <v>2</v>
      </c>
      <c r="C2" t="s" s="1">
        <v>0</v>
      </c>
      <c r="D2" t="s" s="1">
        <v>0</v>
      </c>
      <c r="E2" t="s" s="1">
        <v>0</v>
      </c>
      <c r="F2" t="s" s="1">
        <v>0</v>
      </c>
      <c r="G2" t="s" s="1">
        <v>3</v>
      </c>
      <c r="H2" t="s" s="1">
        <v>0</v>
      </c>
    </row>
    <row r="3">
      <c r="A3" t="s" s="1">
        <v>0</v>
      </c>
      <c r="B3" t="s" s="1">
        <v>4</v>
      </c>
      <c r="C3" t="s" s="1">
        <v>0</v>
      </c>
      <c r="D3" t="s" s="1">
        <v>0</v>
      </c>
      <c r="E3" t="s" s="1">
        <v>0</v>
      </c>
      <c r="F3" t="s" s="1">
        <v>0</v>
      </c>
      <c r="G3" t="s" s="1">
        <v>5</v>
      </c>
    </row>
    <row r="4">
      <c r="A4" t="s" s="1">
        <v>0</v>
      </c>
      <c r="B4" t="s" s="1">
        <v>6</v>
      </c>
      <c r="C4" t="s" s="1">
        <v>0</v>
      </c>
      <c r="D4" t="s" s="1">
        <v>0</v>
      </c>
      <c r="E4" t="s" s="1">
        <v>0</v>
      </c>
      <c r="F4" t="s" s="1">
        <v>0</v>
      </c>
      <c r="G4" t="s" s="1">
        <v>7</v>
      </c>
      <c r="H4" s="1"/>
      <c r="I4" t="s" s="1">
        <v>8</v>
      </c>
    </row>
    <row r="5" ht="153.0" customHeight="true">
      <c r="A5" t="s" s="4">
        <v>0</v>
      </c>
      <c r="B5" t="s" s="4">
        <v>9</v>
      </c>
    </row>
    <row r="6" ht="40.0" customHeight="true">
      <c r="A6" t="s" s="5">
        <v>10</v>
      </c>
      <c r="B6" t="s" s="5">
        <v>11</v>
      </c>
      <c r="C6" t="s" s="5">
        <v>12</v>
      </c>
      <c r="D6" t="s" s="5">
        <v>13</v>
      </c>
      <c r="E6" t="s" s="5">
        <v>13</v>
      </c>
      <c r="F6" t="s" s="5">
        <v>14</v>
      </c>
    </row>
    <row r="7">
      <c r="A7" t="s" s="1">
        <v>0</v>
      </c>
      <c r="B7" t="s" s="1">
        <v>15</v>
      </c>
      <c r="C7" t="s" s="1">
        <v>15</v>
      </c>
      <c r="D7" t="s" s="1">
        <v>16</v>
      </c>
      <c r="E7" t="s" s="1">
        <v>17</v>
      </c>
      <c r="F7" t="s" s="1">
        <v>0</v>
      </c>
      <c r="G7" t="s" s="1">
        <v>0</v>
      </c>
    </row>
    <row r="8"/>
    <row r="9"/>
    <row r="10"/>
    <row r="11" ht="28.5" customHeight="true">
      <c r="A11" t="s" s="6">
        <v>18</v>
      </c>
    </row>
    <row r="12">
      <c r="A12" t="s" s="7">
        <v>19</v>
      </c>
      <c r="B12" t="s" s="7">
        <v>20</v>
      </c>
      <c r="C12" t="s" s="7">
        <v>0</v>
      </c>
      <c r="D12" s="2" t="n">
        <v>71380.91</v>
      </c>
      <c r="E12" s="2" t="n">
        <f>SUM(E13:E54)</f>
        <v>71380.91</v>
      </c>
    </row>
    <row r="13">
      <c r="A13" t="s" s="8">
        <v>19</v>
      </c>
      <c r="B13" t="s" s="8">
        <v>21</v>
      </c>
      <c r="C13" t="s" s="8">
        <v>22</v>
      </c>
      <c r="D13" s="8" t="n">
        <v>63040.92</v>
      </c>
      <c r="E13" s="8" t="n">
        <f>C13 * D13</f>
        <v>63040.92</v>
      </c>
      <c r="F13" s="9"/>
      <c r="G13" s="8"/>
    </row>
    <row r="14">
      <c r="A14" t="s" s="10">
        <v>23</v>
      </c>
      <c r="B14" t="s" s="10">
        <v>11</v>
      </c>
      <c r="C14" t="s" s="10">
        <v>24</v>
      </c>
    </row>
    <row r="15">
      <c r="A15" t="s" s="11">
        <v>25</v>
      </c>
      <c r="B15" t="s" s="11">
        <v>26</v>
      </c>
      <c r="C15" t="s" s="11">
        <v>22</v>
      </c>
    </row>
    <row r="16">
      <c r="A16" t="s" s="11">
        <v>27</v>
      </c>
      <c r="B16" t="s" s="11">
        <v>28</v>
      </c>
      <c r="C16" t="s" s="11">
        <v>22</v>
      </c>
    </row>
    <row r="17">
      <c r="A17" t="s" s="11">
        <v>29</v>
      </c>
      <c r="B17" t="s" s="11">
        <v>30</v>
      </c>
      <c r="C17" t="s" s="11">
        <v>22</v>
      </c>
    </row>
    <row r="18">
      <c r="A18" t="s" s="11">
        <v>31</v>
      </c>
      <c r="B18" t="s" s="11">
        <v>32</v>
      </c>
      <c r="C18" t="s" s="11">
        <v>22</v>
      </c>
    </row>
    <row r="19">
      <c r="A19" t="s" s="11">
        <v>33</v>
      </c>
      <c r="B19" t="s" s="11">
        <v>34</v>
      </c>
      <c r="C19" t="s" s="11">
        <v>22</v>
      </c>
    </row>
    <row r="20">
      <c r="A20" t="s" s="11">
        <v>35</v>
      </c>
      <c r="B20" t="s" s="11">
        <v>36</v>
      </c>
      <c r="C20" t="s" s="11">
        <v>22</v>
      </c>
    </row>
    <row r="21">
      <c r="A21" t="s" s="11">
        <v>37</v>
      </c>
      <c r="B21" t="s" s="11">
        <v>38</v>
      </c>
      <c r="C21" t="s" s="11">
        <v>39</v>
      </c>
    </row>
    <row r="22">
      <c r="A22" t="s" s="11">
        <v>40</v>
      </c>
      <c r="B22" t="s" s="11">
        <v>41</v>
      </c>
      <c r="C22" t="s" s="11">
        <v>22</v>
      </c>
    </row>
    <row r="23">
      <c r="A23" t="s" s="11">
        <v>42</v>
      </c>
      <c r="B23" t="s" s="11">
        <v>43</v>
      </c>
      <c r="C23" t="s" s="11">
        <v>22</v>
      </c>
    </row>
    <row r="24">
      <c r="A24" t="s" s="11">
        <v>44</v>
      </c>
      <c r="B24" t="s" s="11">
        <v>45</v>
      </c>
      <c r="C24" t="s" s="11">
        <v>39</v>
      </c>
    </row>
    <row r="25">
      <c r="A25" t="s" s="11">
        <v>46</v>
      </c>
      <c r="B25" t="s" s="11">
        <v>47</v>
      </c>
      <c r="C25" t="s" s="11">
        <v>22</v>
      </c>
    </row>
    <row r="26">
      <c r="A26" t="s" s="11">
        <v>48</v>
      </c>
      <c r="B26" t="s" s="11">
        <v>49</v>
      </c>
      <c r="C26" t="s" s="11">
        <v>22</v>
      </c>
    </row>
    <row r="27">
      <c r="A27" t="s" s="11">
        <v>50</v>
      </c>
      <c r="B27" t="s" s="11">
        <v>51</v>
      </c>
      <c r="C27" t="s" s="11">
        <v>22</v>
      </c>
    </row>
    <row r="28">
      <c r="A28" t="s" s="11">
        <v>52</v>
      </c>
      <c r="B28" t="s" s="11">
        <v>53</v>
      </c>
      <c r="C28" t="s" s="11">
        <v>54</v>
      </c>
    </row>
    <row r="29">
      <c r="A29" t="s" s="11">
        <v>55</v>
      </c>
      <c r="B29" t="s" s="11">
        <v>56</v>
      </c>
      <c r="C29" t="s" s="11">
        <v>22</v>
      </c>
    </row>
    <row r="30">
      <c r="A30" t="s" s="11">
        <v>57</v>
      </c>
      <c r="B30" t="s" s="11">
        <v>58</v>
      </c>
      <c r="C30" t="s" s="11">
        <v>22</v>
      </c>
    </row>
    <row r="31">
      <c r="A31" t="s" s="11">
        <v>59</v>
      </c>
      <c r="B31" t="s" s="11">
        <v>60</v>
      </c>
      <c r="C31" t="s" s="11">
        <v>22</v>
      </c>
    </row>
    <row r="32">
      <c r="A32" t="s" s="11">
        <v>61</v>
      </c>
      <c r="B32" t="s" s="11">
        <v>62</v>
      </c>
      <c r="C32" t="s" s="11">
        <v>54</v>
      </c>
    </row>
    <row r="33">
      <c r="A33" t="s" s="11">
        <v>63</v>
      </c>
      <c r="B33" t="s" s="11">
        <v>64</v>
      </c>
      <c r="C33" t="s" s="11">
        <v>54</v>
      </c>
    </row>
    <row r="34">
      <c r="A34" t="s" s="11">
        <v>65</v>
      </c>
      <c r="B34" t="s" s="11">
        <v>66</v>
      </c>
      <c r="C34" t="s" s="11">
        <v>67</v>
      </c>
    </row>
    <row r="35">
      <c r="A35" t="s" s="11">
        <v>68</v>
      </c>
      <c r="B35" t="s" s="11">
        <v>69</v>
      </c>
      <c r="C35" t="s" s="11">
        <v>22</v>
      </c>
    </row>
    <row r="36">
      <c r="A36" t="s" s="11">
        <v>70</v>
      </c>
      <c r="B36" t="s" s="11">
        <v>71</v>
      </c>
      <c r="C36" t="s" s="11">
        <v>22</v>
      </c>
    </row>
    <row r="37">
      <c r="A37" t="s" s="11">
        <v>72</v>
      </c>
      <c r="B37" t="s" s="11">
        <v>73</v>
      </c>
      <c r="C37" t="s" s="11">
        <v>22</v>
      </c>
    </row>
    <row r="38">
      <c r="A38" t="s" s="11">
        <v>74</v>
      </c>
      <c r="B38" t="s" s="11">
        <v>75</v>
      </c>
      <c r="C38" t="s" s="11">
        <v>22</v>
      </c>
    </row>
    <row r="39">
      <c r="A39" t="s" s="11">
        <v>76</v>
      </c>
      <c r="B39" t="s" s="11">
        <v>77</v>
      </c>
      <c r="C39" t="s" s="11">
        <v>22</v>
      </c>
    </row>
    <row r="40">
      <c r="A40" t="s" s="11">
        <v>78</v>
      </c>
      <c r="B40" t="s" s="11">
        <v>79</v>
      </c>
      <c r="C40" t="s" s="11">
        <v>22</v>
      </c>
    </row>
    <row r="41">
      <c r="A41" t="s" s="11">
        <v>80</v>
      </c>
      <c r="B41" t="s" s="11">
        <v>81</v>
      </c>
      <c r="C41" t="s" s="11">
        <v>22</v>
      </c>
    </row>
    <row r="42">
      <c r="A42" t="s" s="11">
        <v>82</v>
      </c>
      <c r="B42" t="s" s="11">
        <v>83</v>
      </c>
      <c r="C42" t="s" s="11">
        <v>22</v>
      </c>
    </row>
    <row r="43">
      <c r="A43" t="s" s="11">
        <v>84</v>
      </c>
      <c r="B43" t="s" s="11">
        <v>85</v>
      </c>
      <c r="C43" t="s" s="11">
        <v>54</v>
      </c>
    </row>
    <row r="44">
      <c r="A44" t="s" s="11">
        <v>86</v>
      </c>
      <c r="B44" t="s" s="11">
        <v>87</v>
      </c>
      <c r="C44" t="s" s="11">
        <v>22</v>
      </c>
    </row>
    <row r="45">
      <c r="A45" t="s" s="11">
        <v>88</v>
      </c>
      <c r="B45" t="s" s="11">
        <v>89</v>
      </c>
      <c r="C45" t="s" s="11">
        <v>22</v>
      </c>
    </row>
    <row r="46">
      <c r="A46" t="s" s="8">
        <v>90</v>
      </c>
      <c r="B46" t="s" s="8">
        <v>91</v>
      </c>
      <c r="C46" t="s" s="8">
        <v>22</v>
      </c>
      <c r="D46" s="8" t="n">
        <v>506.23</v>
      </c>
      <c r="E46" s="8" t="n">
        <f>C46 * D46</f>
        <v>506.23</v>
      </c>
      <c r="F46" s="9"/>
      <c r="G46" s="8"/>
    </row>
    <row r="47">
      <c r="A47" t="s" s="10">
        <v>23</v>
      </c>
      <c r="B47" t="s" s="10">
        <v>11</v>
      </c>
      <c r="C47" t="s" s="10">
        <v>24</v>
      </c>
    </row>
    <row r="48">
      <c r="A48" t="s" s="11">
        <v>92</v>
      </c>
      <c r="B48" t="s" s="11">
        <v>93</v>
      </c>
      <c r="C48" t="s" s="11">
        <v>22</v>
      </c>
    </row>
    <row r="49">
      <c r="A49" t="s" s="8">
        <v>94</v>
      </c>
      <c r="B49" t="s" s="8">
        <v>95</v>
      </c>
      <c r="C49" t="s" s="8">
        <v>22</v>
      </c>
      <c r="D49" s="8" t="n">
        <v>0.0</v>
      </c>
      <c r="E49" s="8" t="n">
        <f>C49 * D49</f>
        <v>0.0</v>
      </c>
      <c r="F49" s="9"/>
      <c r="G49" s="8"/>
    </row>
    <row r="50">
      <c r="A50" t="s" s="8">
        <v>96</v>
      </c>
      <c r="B50" t="s" s="8">
        <v>97</v>
      </c>
      <c r="C50" t="s" s="8">
        <v>22</v>
      </c>
      <c r="D50" s="8" t="n">
        <v>306.65</v>
      </c>
      <c r="E50" s="8" t="n">
        <f>C50 * D50</f>
        <v>306.65</v>
      </c>
      <c r="F50" s="9"/>
      <c r="G50" s="8"/>
    </row>
    <row r="51">
      <c r="A51" t="s" s="10">
        <v>23</v>
      </c>
      <c r="B51" t="s" s="10">
        <v>11</v>
      </c>
      <c r="C51" t="s" s="10">
        <v>24</v>
      </c>
    </row>
    <row r="52">
      <c r="A52" t="s" s="11">
        <v>98</v>
      </c>
      <c r="B52" t="s" s="11">
        <v>99</v>
      </c>
      <c r="C52" t="s" s="11">
        <v>22</v>
      </c>
    </row>
    <row r="53">
      <c r="A53" t="s" s="8">
        <v>100</v>
      </c>
      <c r="B53" t="s" s="8">
        <v>101</v>
      </c>
      <c r="C53" t="s" s="8">
        <v>22</v>
      </c>
      <c r="D53" s="8" t="n">
        <v>310.18</v>
      </c>
      <c r="E53" s="8" t="n">
        <f>C53 * D53</f>
        <v>310.18</v>
      </c>
      <c r="F53" s="9"/>
      <c r="G53" s="8"/>
    </row>
    <row r="54">
      <c r="A54" t="s" s="8">
        <v>102</v>
      </c>
      <c r="B54" t="s" s="8">
        <v>103</v>
      </c>
      <c r="C54" t="s" s="8">
        <v>22</v>
      </c>
      <c r="D54" s="8" t="n">
        <v>7216.93</v>
      </c>
      <c r="E54" s="8" t="n">
        <f>C54 * D54</f>
        <v>7216.93</v>
      </c>
      <c r="F54" s="9"/>
      <c r="G54" s="8"/>
    </row>
    <row r="55">
      <c r="A55" t="s" s="8">
        <v>0</v>
      </c>
      <c r="B55" t="s" s="8">
        <v>0</v>
      </c>
      <c r="C55" t="s" s="8">
        <v>0</v>
      </c>
      <c r="D55" t="s" s="8">
        <v>104</v>
      </c>
      <c r="E55" s="8" t="n">
        <f>SUM(E12:E54)  - E12</f>
        <v>71380.91</v>
      </c>
    </row>
    <row r="56"/>
    <row r="57">
      <c r="A57" t="s" s="12">
        <v>105</v>
      </c>
      <c r="B57" s="12"/>
      <c r="C57" t="s" s="12">
        <v>106</v>
      </c>
    </row>
  </sheetData>
  <mergeCells>
    <mergeCell ref="B1:G1"/>
    <mergeCell ref="B2:F2"/>
    <mergeCell ref="D3:E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ns0:coreProperties xmlns:dc="http://purl.org/dc/elements/1.1/" xmlns:ns0="http://schemas.openxmlformats.org/package/2006/metadata/core-properties" xmlns:ns1="http://purl.org/dc/terms/" xmlns:xsi="http://www.w3.org/2001/XMLSchema-instance" xmlns:dcterms="http://purl.org/dc/terms/">
  <ns1:created xsi:type="dcterms:W3CDTF">2026-08-11T22:16:31Z</ns1:created>
  <dc:creator>BidParser</dc:creator>
</ns0:coreProperties>
</file>