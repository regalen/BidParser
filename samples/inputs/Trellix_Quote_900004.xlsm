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Distributor Quote" sheetId="1" state="visible" r:id="rId1"/>
    <sheet xmlns:r="http://schemas.openxmlformats.org/officeDocument/2006/relationships" name="synthetic metadata" sheetId="2" state="veryHidden" r:id="rId2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yyyy-mm-dd h:mm:ss"/>
  </numFmts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pivotButton="0" quotePrefix="0" xfId="0"/>
    <xf numFmtId="164" fontId="0" fillId="0" borderId="0" pivotButton="0" quotePrefix="0" xfId="0"/>
    <xf numFmtId="14" fontId="0" fillId="0" borderId="0" pivotButton="0" quotePrefix="0" xfId="0"/>
    <xf numFmtId="4" fontId="0" fillId="0" borderId="0" pivotButton="0" quotePrefix="0" xfId="0"/>
    <xf numFmtId="165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D1:AE20"/>
  <sheetViews>
    <sheetView workbookViewId="0">
      <selection activeCell="A1" sqref="A1"/>
    </sheetView>
  </sheetViews>
  <sheetFormatPr baseColWidth="8" defaultRowHeight="15"/>
  <sheetData>
    <row r="1">
      <c r="D1" t="inlineStr">
        <is>
          <t>Trellix Distributor Quote Report — synthetic fixture</t>
        </is>
      </c>
    </row>
    <row r="5">
      <c r="D5" t="inlineStr">
        <is>
          <t>Quote ID</t>
        </is>
      </c>
      <c r="E5" t="inlineStr">
        <is>
          <t>Q-900004</t>
        </is>
      </c>
    </row>
    <row r="6">
      <c r="D6" t="inlineStr">
        <is>
          <t>Quote Currency</t>
        </is>
      </c>
      <c r="E6" t="inlineStr">
        <is>
          <t>AUD</t>
        </is>
      </c>
    </row>
    <row r="18">
      <c r="D18" t="inlineStr">
        <is>
          <t>Quote Name</t>
        </is>
      </c>
      <c r="E18" t="inlineStr">
        <is>
          <t>Quote Id</t>
        </is>
      </c>
      <c r="F18" t="inlineStr">
        <is>
          <t>Line Number</t>
        </is>
      </c>
      <c r="G18" t="inlineStr">
        <is>
          <t>Product Description</t>
        </is>
      </c>
      <c r="H18" t="inlineStr">
        <is>
          <t>Material Category</t>
        </is>
      </c>
      <c r="I18" t="inlineStr">
        <is>
          <t>Program Type</t>
        </is>
      </c>
      <c r="J18" t="inlineStr">
        <is>
          <t>Program Benefit</t>
        </is>
      </c>
      <c r="K18" t="inlineStr">
        <is>
          <t>Selling Term</t>
        </is>
      </c>
      <c r="L18" t="inlineStr">
        <is>
          <t>Start Date</t>
        </is>
      </c>
      <c r="M18" t="inlineStr">
        <is>
          <t>End Date</t>
        </is>
      </c>
      <c r="N18" t="inlineStr">
        <is>
          <t>End of life date (hardware / software)</t>
        </is>
      </c>
      <c r="O18" t="inlineStr">
        <is>
          <t>QTY Hardware</t>
        </is>
      </c>
      <c r="P18" t="inlineStr">
        <is>
          <t>QTY Software or Support (Nodes)</t>
        </is>
      </c>
      <c r="Q18" t="inlineStr">
        <is>
          <t>Channel SKU</t>
        </is>
      </c>
      <c r="R18" t="inlineStr">
        <is>
          <t>Grant #'s</t>
        </is>
      </c>
      <c r="S18" t="inlineStr">
        <is>
          <t>Latest Serial Number</t>
        </is>
      </c>
      <c r="T18" t="inlineStr">
        <is>
          <t>Original Serial Number</t>
        </is>
      </c>
      <c r="U18" t="inlineStr">
        <is>
          <t>MSRP Per Unit</t>
        </is>
      </c>
      <c r="V18" t="inlineStr">
        <is>
          <t>Total MSRP</t>
        </is>
      </c>
      <c r="W18" t="inlineStr">
        <is>
          <t>Cost Per Unit</t>
        </is>
      </c>
      <c r="X18" t="inlineStr">
        <is>
          <t>Standard Disti Cost Per Unit</t>
        </is>
      </c>
      <c r="Y18" t="inlineStr">
        <is>
          <t>Total Standard Disti Cost</t>
        </is>
      </c>
      <c r="Z18" t="inlineStr">
        <is>
          <t>Final Disti Cost</t>
        </is>
      </c>
      <c r="AA18" t="inlineStr">
        <is>
          <t>Currency</t>
        </is>
      </c>
      <c r="AB18" t="inlineStr">
        <is>
          <t>Start Date</t>
        </is>
      </c>
      <c r="AC18" t="inlineStr">
        <is>
          <t>Charge Type</t>
        </is>
      </c>
      <c r="AD18" t="inlineStr">
        <is>
          <t>End Date</t>
        </is>
      </c>
      <c r="AE18" t="inlineStr">
        <is>
          <t>Line Status</t>
        </is>
      </c>
    </row>
    <row r="19">
      <c r="U19" t="inlineStr">
        <is>
          <t>[Listprice Converted]</t>
        </is>
      </c>
    </row>
    <row r="20">
      <c r="D20" t="inlineStr">
        <is>
          <t>Synthetic Quote</t>
        </is>
      </c>
      <c r="E20" t="inlineStr">
        <is>
          <t>Q-900004</t>
        </is>
      </c>
      <c r="F20" t="n">
        <v>1</v>
      </c>
      <c r="G20" t="inlineStr">
        <is>
          <t>Synthetic service E</t>
        </is>
      </c>
      <c r="I20" t="inlineStr">
        <is>
          <t>Services</t>
        </is>
      </c>
      <c r="K20" s="1" t="n">
        <v>1</v>
      </c>
      <c r="L20" s="2">
        <f>IF(AE20="New","",AB20)</f>
        <v>46143.0</v>
      </c>
      <c r="M20" s="2" t="str">
        <f>""</f>
        <v/>
      </c>
      <c r="O20" t="n">
        <v>0</v>
      </c>
      <c r="P20" t="n">
        <v>5</v>
      </c>
      <c r="Q20" t="inlineStr">
        <is>
          <t>TRX-SYN-005</t>
        </is>
      </c>
      <c r="R20" t="inlineStr">
        <is>
          <t>GRANT-SYN-005</t>
        </is>
      </c>
      <c r="S20" t="inlineStr">
        <is>
          <t>SN-SYN-005</t>
        </is>
      </c>
      <c r="U20" t="n">
        <v>15</v>
      </c>
      <c r="V20" s="3">
        <f>U20*MAX(O20:P20)*K20</f>
        <v>75.0</v>
      </c>
      <c r="W20" t="n">
        <v>7.25</v>
      </c>
      <c r="Z20" t="n">
        <v>36.25</v>
      </c>
      <c r="AA20" t="inlineStr">
        <is>
          <t>AUD</t>
        </is>
      </c>
      <c r="AB20" s="4" t="n">
        <v>46143</v>
      </c>
      <c r="AE20" t="inlineStr">
        <is>
          <t>Active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>
    <row r="1">
      <c r="A1" t="inlineStr">
        <is>
          <t>Synthetic non-quote sheet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regalen</dc:creator>
  <dcterms:created xmlns:dcterms="http://purl.org/dc/terms/" xmlns:xsi="http://www.w3.org/2001/XMLSchema-instance" xsi:type="dcterms:W3CDTF">2026-09-21T09:10:56Z</dcterms:created>
  <dcterms:modified xmlns:dcterms="http://purl.org/dc/terms/" xmlns:xsi="http://www.w3.org/2001/XMLSchema-instance" xsi:type="dcterms:W3CDTF">2026-09-21T09:10:56Z</dcterms:modified>
  <cp:lastModifiedBy>regalen</cp:lastModifiedBy>
</cp:coreProperties>
</file>