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novo Bid Platform Bid Request" r:id="rId3" sheetId="1"/>
  </sheets>
</workbook>
</file>

<file path=xl/sharedStrings.xml><?xml version="1.0" encoding="utf-8"?>
<sst xmlns="http://schemas.openxmlformats.org/spreadsheetml/2006/main" count="890" uniqueCount="302">
  <si>
    <t/>
  </si>
  <si>
    <t>Sample Lenovo LBP-E Quote 2</t>
  </si>
  <si>
    <t>Prepared By: parser.tester@example.invalid</t>
  </si>
  <si>
    <t>Prepared for: SAMPLE RESELLER PTY LTD</t>
  </si>
  <si>
    <t>For End Customer: SAMPLE CUSTOMER PTY LTD</t>
  </si>
  <si>
    <t>Expiry Date: 21-Aug-2026 00:00:00</t>
  </si>
  <si>
    <t>Created Date: 07-Aug-2026 06:59:45</t>
  </si>
  <si>
    <t>Bid Request Number: BRDADTEST0002</t>
  </si>
  <si>
    <t>Version#: 3</t>
  </si>
  <si>
    <t>Notwithstanding the stated price validity period, Lenovo retains the right to revise pricing prior to order confirmation where there is a material fluctuation in market prices for key components. Any such adjustment shall be notified in writing and subject to mutual agreement before proceeding with supply.
All pricing shown is exclusive of Local Sales Tax and is estimated pricing. For official confirmation please use the ‘Confirm bid request’ button. The Ts&amp;Cs apply to all pricing which can also be viewed on the bid request.</t>
  </si>
  <si>
    <t>PN</t>
  </si>
  <si>
    <t>Description</t>
  </si>
  <si>
    <t>Requested Quantity</t>
  </si>
  <si>
    <t>Estimated Price (AUD)</t>
  </si>
  <si>
    <t>ESD</t>
  </si>
  <si>
    <t>'</t>
  </si>
  <si>
    <t>(per unit)</t>
  </si>
  <si>
    <t>(quantity x unit price)</t>
  </si>
  <si>
    <t>Set from Configurator(Config 1) SIDTEST0002</t>
  </si>
  <si>
    <t>7D9ACTO1WW</t>
  </si>
  <si>
    <t>Subtotal</t>
  </si>
  <si>
    <t>AMD Server ThinkSystem SR665 V3-3yr Base Warranty</t>
  </si>
  <si>
    <t>1</t>
  </si>
  <si>
    <t>2026-08-21</t>
  </si>
  <si>
    <t>Feature Code</t>
  </si>
  <si>
    <t>Qty</t>
  </si>
  <si>
    <t>BLKK</t>
  </si>
  <si>
    <t>ThinkSystem V3 2U 24x2.5" Chassis</t>
  </si>
  <si>
    <t>BFYA</t>
  </si>
  <si>
    <t>Operating mode selection for:  "Maximum Efficiency Mode"</t>
  </si>
  <si>
    <t>BVGL</t>
  </si>
  <si>
    <t>Data Center Environment 30 Degree Celsius / 86 Degree Fahrenheit</t>
  </si>
  <si>
    <t>C2AF</t>
  </si>
  <si>
    <t>AMD EPYC 9015 8C 125W 3.6GHz Processor</t>
  </si>
  <si>
    <t>2</t>
  </si>
  <si>
    <t>BQ29</t>
  </si>
  <si>
    <t>ThinkSystem SR665 V3 2U High Performance Heatsink</t>
  </si>
  <si>
    <t>C0DF</t>
  </si>
  <si>
    <t>Platform Secure Boot Enable</t>
  </si>
  <si>
    <t>CBND</t>
  </si>
  <si>
    <t>ThinkSystem SR645 V3/SR665 V3 64GB TruDDR5 6400MHz (2Rx4) RDIMM-A v2</t>
  </si>
  <si>
    <t>5977</t>
  </si>
  <si>
    <t>Select Storage devices - no configured RAID required</t>
  </si>
  <si>
    <t>B8NY</t>
  </si>
  <si>
    <t>ThinkSystem RAID 940-8i 4GB Flash PCIe Gen4 12Gb Adapter</t>
  </si>
  <si>
    <t>BRG7</t>
  </si>
  <si>
    <t>ThinkSystem 2.5" 2.4TB 10K SAS 12Gb Hot Swap 512e HDD v2</t>
  </si>
  <si>
    <t>7</t>
  </si>
  <si>
    <t>B8LU</t>
  </si>
  <si>
    <t>ThinkSystem 2U 8x2.5" SAS/SATA Backplane</t>
  </si>
  <si>
    <t>B8P9</t>
  </si>
  <si>
    <t>ThinkSystem M.2 NVMe 2-Bay RAID Adapter</t>
  </si>
  <si>
    <t>BTTY</t>
  </si>
  <si>
    <t>M.2 NVMe</t>
  </si>
  <si>
    <t>CBSZ</t>
  </si>
  <si>
    <t>ThinkSystem M.2 VA 480GB Read Intensive NVMe PCIe 4.0 x4 NHS SSD</t>
  </si>
  <si>
    <t>BCD4</t>
  </si>
  <si>
    <t>ThinkSystem Intel E810-DA2 10/25GbE SFP28 2-Port OCP Ethernet Adapter</t>
  </si>
  <si>
    <t>B8P7</t>
  </si>
  <si>
    <t>ThinkSystem 440-16e SAS/SATA PCIe Gen4 12Gb HBA</t>
  </si>
  <si>
    <t>BCD6</t>
  </si>
  <si>
    <t>ThinkSystem Intel E810-DA2 10/25GbE SFP28 2-Port PCIe Ethernet Adapter</t>
  </si>
  <si>
    <t>BYBJ</t>
  </si>
  <si>
    <t>ThinkSystem Finisar Dual Rate 10G/25G SR SFP28 Transceiver</t>
  </si>
  <si>
    <t>4</t>
  </si>
  <si>
    <t>BPQV</t>
  </si>
  <si>
    <t>ThinkSystem V3 2U x16/x16/E PCIe Gen5 Riser1 or 2</t>
  </si>
  <si>
    <t>BLKL</t>
  </si>
  <si>
    <t>ThinkSystem V3 2U x16/x8/x8 PCIe Gen4 Riser1 or 2</t>
  </si>
  <si>
    <t>BNFH</t>
  </si>
  <si>
    <t>ThinkSystem 1100W 230V/115V Platinum Hot-Swap Gen2 Power Supply v3</t>
  </si>
  <si>
    <t>6400</t>
  </si>
  <si>
    <t>2.8m, 13A/100-250V, C13 to C14 Jumper Cord</t>
  </si>
  <si>
    <t>BLL6</t>
  </si>
  <si>
    <t>ThinkSystem 2U V3 Performance Fan Module</t>
  </si>
  <si>
    <t>6</t>
  </si>
  <si>
    <t>B91Y</t>
  </si>
  <si>
    <t>ThinkSystem Toolless Slide Rail Kit v2 with 2U CMA</t>
  </si>
  <si>
    <t>BQQ2</t>
  </si>
  <si>
    <t>ThinkSystem 2U V3 EIA Latch Standard</t>
  </si>
  <si>
    <t>B2PB</t>
  </si>
  <si>
    <t>Lenovo 3m LC-LC OM4 MMF Cable</t>
  </si>
  <si>
    <t>BPKQ</t>
  </si>
  <si>
    <t>TPM 2.0 with Secure Boot</t>
  </si>
  <si>
    <t>BXBQ</t>
  </si>
  <si>
    <t>ThinkSystem V3 2U Security Bezel</t>
  </si>
  <si>
    <t>C2B8</t>
  </si>
  <si>
    <t>ThinkSystem SR665 V3 MB W/IO,Turin,Kauai,2U</t>
  </si>
  <si>
    <t>C8WQ</t>
  </si>
  <si>
    <t>SR665 V3 Laser service indicator</t>
  </si>
  <si>
    <t>BRPJ</t>
  </si>
  <si>
    <t>XCC Platinum</t>
  </si>
  <si>
    <t>BU1E</t>
  </si>
  <si>
    <t>Lenovo Top Choice Express Flag</t>
  </si>
  <si>
    <t>AUNP</t>
  </si>
  <si>
    <t>ThinkSystem RAID 930/940 SuperCap</t>
  </si>
  <si>
    <t>BQQ6</t>
  </si>
  <si>
    <t>ThinkSystem 2U V3 EIA right with FIO</t>
  </si>
  <si>
    <t>BXGY</t>
  </si>
  <si>
    <t>Right EIA with FIO assembly</t>
  </si>
  <si>
    <t>C257</t>
  </si>
  <si>
    <t>ThinkSystem SR6445 V3/SR665 V3 Absolut-RoW RoT Module for Turin MLK</t>
  </si>
  <si>
    <t>BPKD</t>
  </si>
  <si>
    <t>ThinkSystem 2U MS 3FH Riser 1&amp;2 Cage w/Label1</t>
  </si>
  <si>
    <t>BLLD</t>
  </si>
  <si>
    <t>ThinkSystem 2U MS 3FH Riser 1&amp;2 Cage w/ lbl2</t>
  </si>
  <si>
    <t>BQ2Z</t>
  </si>
  <si>
    <t>ThinkSystem 2U MS main Airduct</t>
  </si>
  <si>
    <t>AVEN</t>
  </si>
  <si>
    <t>ThinkSystem 1x1 2.5" HDD Filler</t>
  </si>
  <si>
    <t>BC4X</t>
  </si>
  <si>
    <t>MS 2FH Riser Filler</t>
  </si>
  <si>
    <t>AVEQ</t>
  </si>
  <si>
    <t>ThinkSystem 8x1 2.5" HDD Filler</t>
  </si>
  <si>
    <t>BQ31</t>
  </si>
  <si>
    <t>ThinkSystem MS 2U common Airduct Filler</t>
  </si>
  <si>
    <t>BQ18</t>
  </si>
  <si>
    <t>G4 x16/x8/x8 PCIe Riser BLKL for Riser 2 Placement</t>
  </si>
  <si>
    <t>BQ16</t>
  </si>
  <si>
    <t>G5 x16/x16/E PCIe Riser BPQV for Riser 1 Placement</t>
  </si>
  <si>
    <t>7S0XCTO6WW</t>
  </si>
  <si>
    <t>software1 XClarity One</t>
  </si>
  <si>
    <t>SCJE</t>
  </si>
  <si>
    <t>XClarity One - Standard, Per Endpoint w/5 Yr SW S&amp;S</t>
  </si>
  <si>
    <t>7S1SCTO5WW</t>
  </si>
  <si>
    <t>software2 Windows Server 2025</t>
  </si>
  <si>
    <t>SDAE</t>
  </si>
  <si>
    <t>Windows Server 2025 Standard (16 core) - MultiLang (not preinstalled)</t>
  </si>
  <si>
    <t>5374CM1</t>
  </si>
  <si>
    <t>software3 Configuration Instruction</t>
  </si>
  <si>
    <t>5372SWX</t>
  </si>
  <si>
    <t>software4 xSeries HIPO</t>
  </si>
  <si>
    <t>7S0XCTO5WW</t>
  </si>
  <si>
    <t>software5 XClarity Controller Platin-FOD</t>
  </si>
  <si>
    <t>SBCV</t>
  </si>
  <si>
    <t>Lenovo XClarity XCC2 Platinum Upgrade (FOD)</t>
  </si>
  <si>
    <t>BM35</t>
  </si>
  <si>
    <t>ThinkSystem RAID 940-16i 4GB Flash PCIe Gen4 12Gb Adapter</t>
  </si>
  <si>
    <t>AUM1</t>
  </si>
  <si>
    <t>ThinkSystem 2.5" 1.2TB 10K SAS 12Gb Hot Swap 512n HDD</t>
  </si>
  <si>
    <t>BNWJ</t>
  </si>
  <si>
    <t>ThinkSystem RAID 940-8e 4GB Flash PCIe Gen4 12Gb Adapter</t>
  </si>
  <si>
    <t>BS3E</t>
  </si>
  <si>
    <t>ThinkSystem SR645 V3/SR635 V3 PCIe Gen4 Cable, SLx8-SLx8,730mm</t>
  </si>
  <si>
    <t>3</t>
  </si>
  <si>
    <t>AVEP</t>
  </si>
  <si>
    <t>ThinkSystem 4x1 2.5" HDD Filler</t>
  </si>
  <si>
    <t>software3 xSeries HIPO</t>
  </si>
  <si>
    <t>software4 XClarity Controller Platin-FOD</t>
  </si>
  <si>
    <t>software5 Configuration Instruction</t>
  </si>
  <si>
    <t>7DG9CTO1WW</t>
  </si>
  <si>
    <t>Intel Server_SQL VMS ThinkSystem SR630 V4-3yr Base Warranty</t>
  </si>
  <si>
    <t>C1XE</t>
  </si>
  <si>
    <t>ThinkSystem 1U V4 10x2.5" Chassis</t>
  </si>
  <si>
    <t>C3JB</t>
  </si>
  <si>
    <t>ThinkSystem General Computing - Power Efficiency</t>
  </si>
  <si>
    <t>C5R7</t>
  </si>
  <si>
    <t>Intel Xeon 6714P 8C 165W 4.0GHz Processor</t>
  </si>
  <si>
    <t>C1XJ</t>
  </si>
  <si>
    <t>ThinkSystem 1U V4 Performance Heatsink</t>
  </si>
  <si>
    <t>C0TQ</t>
  </si>
  <si>
    <t>ThinkSystem 64GB TruDDR5 6400MHz (2Rx4) RDIMM</t>
  </si>
  <si>
    <t>C91T</t>
  </si>
  <si>
    <t>ThinkSystem SR630 V4 2.5" 2.4TB 10K SAS 12Gb Hot Swap 512e HDD</t>
  </si>
  <si>
    <t>BYLS</t>
  </si>
  <si>
    <t>ThinkSystem 2.5" VA 960GB Read Intensive SATA 6Gb HS SSD v2</t>
  </si>
  <si>
    <t>C21T</t>
  </si>
  <si>
    <t>ThinkSystem 1U V4 8x2.5" SAS/SATA Backplane</t>
  </si>
  <si>
    <t>B5T1</t>
  </si>
  <si>
    <t>ThinkSystem Broadcom 5719 1GbE RJ45 4-port OCP Ethernet Adapter</t>
  </si>
  <si>
    <t>C1Z7</t>
  </si>
  <si>
    <t>ThinkSystem SR630 V4 Full Height+Low Profile Riser1 Cage</t>
  </si>
  <si>
    <t>C1Z4</t>
  </si>
  <si>
    <t>ThinkSystem SR630 V4 x16 PCIe Gen5 Riser 2</t>
  </si>
  <si>
    <t>C0U4</t>
  </si>
  <si>
    <t>ThinkSystem 1300W 230V/115V Titanium CRPS Premium Hot-Swap Power Supply</t>
  </si>
  <si>
    <t>C1YT</t>
  </si>
  <si>
    <t>ThinkSystem 1U V4 Performance Fan Module</t>
  </si>
  <si>
    <t>C1YP</t>
  </si>
  <si>
    <t>ThinkSystem 1U V4 Standard Media Bay</t>
  </si>
  <si>
    <t>C2DL</t>
  </si>
  <si>
    <t>ThinkSystem Toolless Slide Rail Kit V4 with 1U CMA</t>
  </si>
  <si>
    <t>C1Z1</t>
  </si>
  <si>
    <t>ThinkSystem V4 1U Security Bezel</t>
  </si>
  <si>
    <t>C1XV</t>
  </si>
  <si>
    <t>ThinkSystem G4 SAS Cable, SLX8-SLX4 x2, 900mm/1020mm</t>
  </si>
  <si>
    <t>C21G</t>
  </si>
  <si>
    <t>ThinkSystem Supercap Cable, 1X9 receptacle to 2X4 microfit receptacle, 780mm</t>
  </si>
  <si>
    <t>CAR5</t>
  </si>
  <si>
    <t>SR630 V4 Laser service indicator</t>
  </si>
  <si>
    <t>C3NP</t>
  </si>
  <si>
    <t>ThinkSystem SR630 V4 MI-BF Cbl Riser to P9</t>
  </si>
  <si>
    <t>B0ML</t>
  </si>
  <si>
    <t>Feature Enable TPM on MB</t>
  </si>
  <si>
    <t>C4DV</t>
  </si>
  <si>
    <t>ThinkSystem SR630 V4 Processor Board</t>
  </si>
  <si>
    <t>C3K9</t>
  </si>
  <si>
    <t>XClarity Platinum Upgrade v3</t>
  </si>
  <si>
    <t>AURS</t>
  </si>
  <si>
    <t>Lenovo ThinkSystem Memory Dummy</t>
  </si>
  <si>
    <t>30</t>
  </si>
  <si>
    <t>B5X6</t>
  </si>
  <si>
    <t>ThinkSystem 1U 2x2.5" Fixed Filler</t>
  </si>
  <si>
    <t>CA7N</t>
  </si>
  <si>
    <t>ThinkSystem SR630 V4 System I/O board v2</t>
  </si>
  <si>
    <t>C26Y</t>
  </si>
  <si>
    <t>ThinkSystem V4 CPU HS Clip</t>
  </si>
  <si>
    <t>BHSS</t>
  </si>
  <si>
    <t>MI for PXE with RJ45 Network port</t>
  </si>
  <si>
    <t>C1Z8</t>
  </si>
  <si>
    <t>ThinkSystem 1U V4 Low Profile Riser Cage</t>
  </si>
  <si>
    <t>software4 Configuration Instruction</t>
  </si>
  <si>
    <t>7S0XCTO8WW</t>
  </si>
  <si>
    <t>software5 XClarity Controller Prem-FOD</t>
  </si>
  <si>
    <t>SCY0</t>
  </si>
  <si>
    <t>Lenovo XClarity XCC3 premier - FOD</t>
  </si>
  <si>
    <t>7DCQCTO1WW</t>
  </si>
  <si>
    <t>Storage Lenovo ThinkSystem DE4200H Hybrid SAS 2U24</t>
  </si>
  <si>
    <t>2026-08-14</t>
  </si>
  <si>
    <t>BEY7</t>
  </si>
  <si>
    <t>Lenovo ThinkSystem Storage 2U24 Chassis</t>
  </si>
  <si>
    <t>C3J0</t>
  </si>
  <si>
    <t>Lenovo ThinkSystem DE4200 Controller</t>
  </si>
  <si>
    <t>C3HQ</t>
  </si>
  <si>
    <t>Lenovo ThinkSystem DE4200/4800 HIC, 12Gb SAS,4-Ports</t>
  </si>
  <si>
    <t>BW12</t>
  </si>
  <si>
    <t>Lenovo ThinkSystem DE Series 2.4TB 10K 2.5" HDD 2U24</t>
  </si>
  <si>
    <t>23</t>
  </si>
  <si>
    <t>AU18</t>
  </si>
  <si>
    <t>2m External MiniSAS HD 8644/MiniSAS HD 8644 Cable</t>
  </si>
  <si>
    <t>8</t>
  </si>
  <si>
    <t>BY6K</t>
  </si>
  <si>
    <t>USB-A to USB-C Cable</t>
  </si>
  <si>
    <t>6201</t>
  </si>
  <si>
    <t>1.5m, 10A/100-250V, C13 to C14 Jumper Cord</t>
  </si>
  <si>
    <t>C3HM</t>
  </si>
  <si>
    <t>Lenovo ThinkSystem DE4200H Base Bundle</t>
  </si>
  <si>
    <t>B4CX</t>
  </si>
  <si>
    <t>Lenovo ThinkSystem DMDE 2U Accessory Kit</t>
  </si>
  <si>
    <t>B4AY</t>
  </si>
  <si>
    <t>Lenovo ThinkSystem DE Series 2U24 End Cap Kit (Pair)</t>
  </si>
  <si>
    <t>C9K6</t>
  </si>
  <si>
    <t>Lenovo ThinkSystem DE4200H SMID Controller Base Setting 551</t>
  </si>
  <si>
    <t>5PS7C00836</t>
  </si>
  <si>
    <t>5Yr KYD Add-On SR665 V3</t>
  </si>
  <si>
    <t>5PS7C00850</t>
  </si>
  <si>
    <t>2Yr Post Wty KYD Add-On SR665 V3</t>
  </si>
  <si>
    <t>5WS7C00827</t>
  </si>
  <si>
    <t>5Yr Premier 24x7 4Hr Resp SR665 V3</t>
  </si>
  <si>
    <t>5WS7C00844</t>
  </si>
  <si>
    <t>2Yr Post Wty Premier 24x7 4Hr Resp SR665 V3</t>
  </si>
  <si>
    <t>5PS7C20467</t>
  </si>
  <si>
    <t>2Yr Post Wty KYD Add-On SR630 V4</t>
  </si>
  <si>
    <t>5PS7C20470</t>
  </si>
  <si>
    <t>5Yr KYD Add-On SR630 V4</t>
  </si>
  <si>
    <t>5WS7C20225</t>
  </si>
  <si>
    <t>2Yr Post Wty Premier 24x7 4Hr Resp SR630 V4</t>
  </si>
  <si>
    <t>5WS7C20228</t>
  </si>
  <si>
    <t>5Yr Premier 24x7 4Hr Resp SR630 V4</t>
  </si>
  <si>
    <t>5PS7C20596</t>
  </si>
  <si>
    <t>5Yr KYD Add-On DE4200H Hybrid SAS 2U24</t>
  </si>
  <si>
    <t>5PS7C21467</t>
  </si>
  <si>
    <t>6th Yr Post Wty KYD Add-On DE4200H Hybrid SAS 2U24</t>
  </si>
  <si>
    <t>5PS7C21468</t>
  </si>
  <si>
    <t>7th Yr Post Wty KYD Add-On DE4200H Hybrid SAS 2U24</t>
  </si>
  <si>
    <t>5WS7C20581</t>
  </si>
  <si>
    <t>5Yr Premier 24x7 4Hr Resp DE4200H Hybrid SAS 2U24</t>
  </si>
  <si>
    <t>5WS7C21447</t>
  </si>
  <si>
    <t>6th Yr Post Wty Premier 24x7x4 Resp DE4200H Hybrid SAS 2U24</t>
  </si>
  <si>
    <t>5WS7C21448</t>
  </si>
  <si>
    <t>7th Yr Post Wty Premier 24x7x4 Resp DE4200H Hybrid SAS 2U24</t>
  </si>
  <si>
    <t>4587HC2</t>
  </si>
  <si>
    <t>Storage Thinksystem D1224</t>
  </si>
  <si>
    <t>BQZG</t>
  </si>
  <si>
    <t>Lenovo Storage D1224 Disk Exp Enclosure with Platinum 80PLUS PSU</t>
  </si>
  <si>
    <t>AU0W</t>
  </si>
  <si>
    <t>12Gb SAN Rack Mount Kit-Rails 25"-36"</t>
  </si>
  <si>
    <t>B103</t>
  </si>
  <si>
    <t>Lenovo Storage 2.4TB 10K 2.5" SAS HDD</t>
  </si>
  <si>
    <t>AU1Y</t>
  </si>
  <si>
    <t>SFF Drive Blank AMS Filler</t>
  </si>
  <si>
    <t>C5R6</t>
  </si>
  <si>
    <t>Intel Xeon 6507P 8C 150W 3.5GHz Processor</t>
  </si>
  <si>
    <t>C21H</t>
  </si>
  <si>
    <t>ThinkSystem Supercap Cable, 1X9 receptacle to 2X4 microfit receptacle, 380mm</t>
  </si>
  <si>
    <t>BK5T</t>
  </si>
  <si>
    <t>ThinkSystem 1U Rear LP Super Cap Holder</t>
  </si>
  <si>
    <t>5PS7B96812</t>
  </si>
  <si>
    <t>4Yr KYD Add-On DS Series Disk Exp</t>
  </si>
  <si>
    <t>5PS7B96814</t>
  </si>
  <si>
    <t>1Yr Post Wty KYD Add-On DS Series Disk Exp</t>
  </si>
  <si>
    <t>5PS7B96815</t>
  </si>
  <si>
    <t>2Yr Post Wty KYD Add-On DS Series Disk Exp</t>
  </si>
  <si>
    <t>5WS7B96789</t>
  </si>
  <si>
    <t>4Yr Premier NBD Resp DS Series Disk Exp</t>
  </si>
  <si>
    <t>5WS7B96791</t>
  </si>
  <si>
    <t>1Yr Post Wty Premier NBD Resp DS Series Disk Exp</t>
  </si>
  <si>
    <t>5WS7B96792</t>
  </si>
  <si>
    <t>2Yr Post Wty Premier NBD Resp DS Series Disk Exp</t>
  </si>
  <si>
    <t>Total:</t>
  </si>
  <si>
    <t>Discount Codes Applied</t>
  </si>
  <si>
    <t>Discount Value</t>
  </si>
</sst>
</file>

<file path=xl/styles.xml><?xml version="1.0" encoding="utf-8"?>
<styleSheet xmlns="http://schemas.openxmlformats.org/spreadsheetml/2006/main">
  <numFmts count="1">
    <numFmt numFmtId="164" formatCode="#,#0"/>
  </numFmts>
  <fonts count="346">
    <font>
      <sz val="11.0"/>
      <color indexed="8"/>
      <name val="Calibri"/>
      <family val="2"/>
      <scheme val="minor"/>
    </font>
    <font>
      <name val="Arial"/>
      <sz val="10.0"/>
    </font>
    <font>
      <name val="Arial"/>
      <sz val="22.0"/>
      <color indexed="9"/>
      <b val="true"/>
    </font>
    <font>
      <name val="Arial"/>
      <sz val="10.0"/>
    </font>
    <font>
      <name val="Arial"/>
      <sz val="10.0"/>
    </font>
    <font>
      <name val="Arial"/>
      <sz val="10.0"/>
    </font>
    <font>
      <name val="Arial"/>
      <sz val="10.0"/>
    </font>
    <font>
      <name val="Arial"/>
      <sz val="11.0"/>
      <color indexed="9"/>
      <b val="true"/>
    </font>
    <font>
      <name val="Arial"/>
      <sz val="10.0"/>
    </font>
    <font>
      <name val="Arial"/>
      <sz val="10.0"/>
    </font>
    <font>
      <name val="Arial"/>
      <sz val="10.0"/>
    </font>
    <font>
      <name val="Arial"/>
      <sz val="10.0"/>
    </font>
    <font>
      <name val="Arial"/>
      <sz val="10.0"/>
      <b val="true"/>
    </font>
    <font>
      <name val="Arial"/>
      <sz val="10.0"/>
      <b val="true"/>
    </font>
    <font>
      <name val="Arial"/>
      <sz val="10.0"/>
    </font>
    <font>
      <name val="Arial"/>
      <sz val="11.0"/>
    </font>
    <font>
      <name val="Arial"/>
      <sz val="10.0"/>
      <color indexed="9"/>
    </font>
    <font>
      <name val="Arial"/>
      <sz val="1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Arial"/>
      <sz val="10.0"/>
    </font>
    <font>
      <name val="Arial"/>
      <sz val="10.0"/>
      <b val="true"/>
    </font>
  </fonts>
  <fills count="5">
    <fill>
      <patternFill patternType="none"/>
    </fill>
    <fill>
      <patternFill patternType="darkGray"/>
    </fill>
    <fill>
      <patternFill patternType="solid"/>
    </fill>
    <fill>
      <patternFill patternType="solid">
        <fgColor rgb="D40915"/>
      </patternFill>
    </fill>
    <fill>
      <patternFill patternType="solid">
        <fgColor rgb="750207"/>
      </patternFill>
    </fill>
  </fills>
  <borders count="1">
    <border>
      <left/>
      <right/>
      <top/>
      <bottom/>
      <diagonal/>
    </border>
  </borders>
  <cellStyleXfs count="1">
    <xf numFmtId="0" fontId="0" fillId="0" borderId="0"/>
  </cellStyleXfs>
  <cellXfs count="13">
    <xf numFmtId="0" fontId="0" fillId="0" borderId="0" xfId="0"/>
    <xf numFmtId="0" fontId="344" fillId="0" borderId="0" xfId="0" applyFont="true">
      <alignment horizontal="left" vertical="bottom"/>
    </xf>
    <xf numFmtId="4" fontId="1" fillId="0" borderId="0" xfId="0" applyFont="true" applyNumberFormat="true">
      <alignment horizontal="left"/>
    </xf>
    <xf numFmtId="0" fontId="2" fillId="3" borderId="0" xfId="0" applyFont="true" applyFill="true"/>
    <xf numFmtId="0" fontId="6" fillId="0" borderId="0" xfId="0" applyFont="true">
      <alignment wrapText="true"/>
    </xf>
    <xf numFmtId="0" fontId="7" fillId="4" borderId="0" xfId="0" applyFont="true" applyFill="true">
      <alignment wrapText="true" horizontal="center"/>
    </xf>
    <xf numFmtId="0" fontId="12" fillId="0" borderId="0" xfId="0" applyFont="true">
      <alignment vertical="center"/>
    </xf>
    <xf numFmtId="4" fontId="13" fillId="0" borderId="0" xfId="0" applyFont="true" applyNumberFormat="true">
      <alignment horizontal="right"/>
    </xf>
    <xf numFmtId="4" fontId="14" fillId="0" borderId="0" xfId="0" applyFont="true" applyNumberFormat="true">
      <alignment wrapText="true" horizontal="left"/>
    </xf>
    <xf numFmtId="0" fontId="15" fillId="0" borderId="0" xfId="0" applyFont="true">
      <alignment wrapText="true" horizontal="left"/>
    </xf>
    <xf numFmtId="0" fontId="16" fillId="4" borderId="0" xfId="0" applyFont="true" applyFill="true"/>
    <xf numFmtId="0" fontId="17" fillId="0" borderId="0" xfId="0" applyFont="true"/>
    <xf numFmtId="0" fontId="345"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baseColWidth="15"/>
  <cols>
    <col min="2" max="2" width="46.875" customWidth="true"/>
  </cols>
  <sheetData>
    <row r="1">
      <c r="A1" t="s" s="3">
        <v>0</v>
      </c>
      <c r="B1" t="s" s="3">
        <v>1</v>
      </c>
      <c r="C1" t="s" s="3">
        <v>0</v>
      </c>
      <c r="D1" t="s" s="3">
        <v>0</v>
      </c>
      <c r="E1" t="s" s="3">
        <v>0</v>
      </c>
      <c r="F1" t="s" s="3">
        <v>0</v>
      </c>
      <c r="G1" t="s" s="3">
        <v>0</v>
      </c>
      <c r="H1" t="s" s="3">
        <v>0</v>
      </c>
      <c r="I1" t="s" s="3">
        <v>0</v>
      </c>
      <c r="J1" t="s" s="3">
        <v>0</v>
      </c>
      <c r="K1" t="s" s="3">
        <v>0</v>
      </c>
      <c r="L1" t="s" s="3">
        <v>0</v>
      </c>
    </row>
    <row r="2">
      <c r="A2" t="s" s="1">
        <v>0</v>
      </c>
      <c r="B2" t="s" s="1">
        <v>2</v>
      </c>
      <c r="C2" t="s" s="1">
        <v>0</v>
      </c>
      <c r="D2" t="s" s="1">
        <v>0</v>
      </c>
      <c r="E2" t="s" s="1">
        <v>0</v>
      </c>
      <c r="F2" t="s" s="1">
        <v>0</v>
      </c>
      <c r="G2" t="s" s="1">
        <v>3</v>
      </c>
      <c r="H2" t="s" s="1">
        <v>0</v>
      </c>
    </row>
    <row r="3">
      <c r="A3" t="s" s="1">
        <v>0</v>
      </c>
      <c r="B3" t="s" s="1">
        <v>4</v>
      </c>
      <c r="C3" t="s" s="1">
        <v>0</v>
      </c>
      <c r="D3" t="s" s="1">
        <v>0</v>
      </c>
      <c r="E3" t="s" s="1">
        <v>0</v>
      </c>
      <c r="F3" t="s" s="1">
        <v>0</v>
      </c>
      <c r="G3" t="s" s="1">
        <v>5</v>
      </c>
    </row>
    <row r="4">
      <c r="A4" t="s" s="1">
        <v>0</v>
      </c>
      <c r="B4" t="s" s="1">
        <v>6</v>
      </c>
      <c r="C4" t="s" s="1">
        <v>0</v>
      </c>
      <c r="D4" t="s" s="1">
        <v>0</v>
      </c>
      <c r="E4" t="s" s="1">
        <v>0</v>
      </c>
      <c r="F4" t="s" s="1">
        <v>0</v>
      </c>
      <c r="G4" t="s" s="1">
        <v>7</v>
      </c>
      <c r="H4" s="1"/>
      <c r="I4" t="s" s="1">
        <v>8</v>
      </c>
    </row>
    <row r="5" ht="153.0" customHeight="true">
      <c r="A5" t="s" s="4">
        <v>0</v>
      </c>
      <c r="B5" t="s" s="4">
        <v>9</v>
      </c>
    </row>
    <row r="6" ht="40.0" customHeight="true">
      <c r="A6" t="s" s="5">
        <v>10</v>
      </c>
      <c r="B6" t="s" s="5">
        <v>11</v>
      </c>
      <c r="C6" t="s" s="5">
        <v>12</v>
      </c>
      <c r="D6" t="s" s="5">
        <v>13</v>
      </c>
      <c r="E6" t="s" s="5">
        <v>13</v>
      </c>
      <c r="F6" t="s" s="5">
        <v>14</v>
      </c>
    </row>
    <row r="7">
      <c r="A7" t="s" s="1">
        <v>0</v>
      </c>
      <c r="B7" t="s" s="1">
        <v>15</v>
      </c>
      <c r="C7" t="s" s="1">
        <v>15</v>
      </c>
      <c r="D7" t="s" s="1">
        <v>16</v>
      </c>
      <c r="E7" t="s" s="1">
        <v>17</v>
      </c>
      <c r="F7" t="s" s="1">
        <v>0</v>
      </c>
      <c r="G7" t="s" s="1">
        <v>0</v>
      </c>
    </row>
    <row r="8"/>
    <row r="9"/>
    <row r="10"/>
    <row r="11" ht="28.5" customHeight="true">
      <c r="A11" t="s" s="6">
        <v>18</v>
      </c>
    </row>
    <row r="12">
      <c r="A12" t="s" s="7">
        <v>19</v>
      </c>
      <c r="B12" t="s" s="7">
        <v>20</v>
      </c>
      <c r="C12" t="s" s="7">
        <v>0</v>
      </c>
      <c r="D12" s="2" t="n">
        <v>26976.07</v>
      </c>
      <c r="E12" s="2" t="n">
        <f>SUM(E13:E70)</f>
        <v>26976.07</v>
      </c>
    </row>
    <row r="13">
      <c r="A13" t="s" s="8">
        <v>19</v>
      </c>
      <c r="B13" t="s" s="8">
        <v>21</v>
      </c>
      <c r="C13" t="s" s="8">
        <v>22</v>
      </c>
      <c r="D13" s="8" t="n">
        <v>24834.34</v>
      </c>
      <c r="E13" s="8" t="n">
        <f>C13 * D13</f>
        <v>24834.34</v>
      </c>
      <c r="F13" t="s" s="9">
        <v>23</v>
      </c>
      <c r="G13" s="8"/>
    </row>
    <row r="14">
      <c r="A14" t="s" s="10">
        <v>24</v>
      </c>
      <c r="B14" t="s" s="10">
        <v>11</v>
      </c>
      <c r="C14" t="s" s="10">
        <v>25</v>
      </c>
    </row>
    <row r="15">
      <c r="A15" t="s" s="11">
        <v>26</v>
      </c>
      <c r="B15" t="s" s="11">
        <v>27</v>
      </c>
      <c r="C15" t="s" s="11">
        <v>22</v>
      </c>
    </row>
    <row r="16">
      <c r="A16" t="s" s="11">
        <v>28</v>
      </c>
      <c r="B16" t="s" s="11">
        <v>29</v>
      </c>
      <c r="C16" t="s" s="11">
        <v>22</v>
      </c>
    </row>
    <row r="17">
      <c r="A17" t="s" s="11">
        <v>30</v>
      </c>
      <c r="B17" t="s" s="11">
        <v>31</v>
      </c>
      <c r="C17" t="s" s="11">
        <v>22</v>
      </c>
    </row>
    <row r="18">
      <c r="A18" t="s" s="11">
        <v>32</v>
      </c>
      <c r="B18" t="s" s="11">
        <v>33</v>
      </c>
      <c r="C18" t="s" s="11">
        <v>34</v>
      </c>
    </row>
    <row r="19">
      <c r="A19" t="s" s="11">
        <v>35</v>
      </c>
      <c r="B19" t="s" s="11">
        <v>36</v>
      </c>
      <c r="C19" t="s" s="11">
        <v>34</v>
      </c>
    </row>
    <row r="20">
      <c r="A20" t="s" s="11">
        <v>37</v>
      </c>
      <c r="B20" t="s" s="11">
        <v>38</v>
      </c>
      <c r="C20" t="s" s="11">
        <v>22</v>
      </c>
    </row>
    <row r="21">
      <c r="A21" t="s" s="11">
        <v>39</v>
      </c>
      <c r="B21" t="s" s="11">
        <v>40</v>
      </c>
      <c r="C21" t="s" s="11">
        <v>34</v>
      </c>
    </row>
    <row r="22">
      <c r="A22" t="s" s="11">
        <v>41</v>
      </c>
      <c r="B22" t="s" s="11">
        <v>42</v>
      </c>
      <c r="C22" t="s" s="11">
        <v>22</v>
      </c>
    </row>
    <row r="23">
      <c r="A23" t="s" s="11">
        <v>43</v>
      </c>
      <c r="B23" t="s" s="11">
        <v>44</v>
      </c>
      <c r="C23" t="s" s="11">
        <v>22</v>
      </c>
    </row>
    <row r="24">
      <c r="A24" t="s" s="11">
        <v>45</v>
      </c>
      <c r="B24" t="s" s="11">
        <v>46</v>
      </c>
      <c r="C24" t="s" s="11">
        <v>47</v>
      </c>
    </row>
    <row r="25">
      <c r="A25" t="s" s="11">
        <v>48</v>
      </c>
      <c r="B25" t="s" s="11">
        <v>49</v>
      </c>
      <c r="C25" t="s" s="11">
        <v>22</v>
      </c>
    </row>
    <row r="26">
      <c r="A26" t="s" s="11">
        <v>50</v>
      </c>
      <c r="B26" t="s" s="11">
        <v>51</v>
      </c>
      <c r="C26" t="s" s="11">
        <v>22</v>
      </c>
    </row>
    <row r="27">
      <c r="A27" t="s" s="11">
        <v>52</v>
      </c>
      <c r="B27" t="s" s="11">
        <v>53</v>
      </c>
      <c r="C27" t="s" s="11">
        <v>22</v>
      </c>
    </row>
    <row r="28">
      <c r="A28" t="s" s="11">
        <v>54</v>
      </c>
      <c r="B28" t="s" s="11">
        <v>55</v>
      </c>
      <c r="C28" t="s" s="11">
        <v>34</v>
      </c>
    </row>
    <row r="29">
      <c r="A29" t="s" s="11">
        <v>56</v>
      </c>
      <c r="B29" t="s" s="11">
        <v>57</v>
      </c>
      <c r="C29" t="s" s="11">
        <v>22</v>
      </c>
    </row>
    <row r="30">
      <c r="A30" t="s" s="11">
        <v>58</v>
      </c>
      <c r="B30" t="s" s="11">
        <v>59</v>
      </c>
      <c r="C30" t="s" s="11">
        <v>22</v>
      </c>
    </row>
    <row r="31">
      <c r="A31" t="s" s="11">
        <v>60</v>
      </c>
      <c r="B31" t="s" s="11">
        <v>61</v>
      </c>
      <c r="C31" t="s" s="11">
        <v>22</v>
      </c>
    </row>
    <row r="32">
      <c r="A32" t="s" s="11">
        <v>62</v>
      </c>
      <c r="B32" t="s" s="11">
        <v>63</v>
      </c>
      <c r="C32" t="s" s="11">
        <v>64</v>
      </c>
    </row>
    <row r="33">
      <c r="A33" t="s" s="11">
        <v>65</v>
      </c>
      <c r="B33" t="s" s="11">
        <v>66</v>
      </c>
      <c r="C33" t="s" s="11">
        <v>22</v>
      </c>
    </row>
    <row r="34">
      <c r="A34" t="s" s="11">
        <v>67</v>
      </c>
      <c r="B34" t="s" s="11">
        <v>68</v>
      </c>
      <c r="C34" t="s" s="11">
        <v>22</v>
      </c>
    </row>
    <row r="35">
      <c r="A35" t="s" s="11">
        <v>69</v>
      </c>
      <c r="B35" t="s" s="11">
        <v>70</v>
      </c>
      <c r="C35" t="s" s="11">
        <v>34</v>
      </c>
    </row>
    <row r="36">
      <c r="A36" t="s" s="11">
        <v>71</v>
      </c>
      <c r="B36" t="s" s="11">
        <v>72</v>
      </c>
      <c r="C36" t="s" s="11">
        <v>34</v>
      </c>
    </row>
    <row r="37">
      <c r="A37" t="s" s="11">
        <v>73</v>
      </c>
      <c r="B37" t="s" s="11">
        <v>74</v>
      </c>
      <c r="C37" t="s" s="11">
        <v>75</v>
      </c>
    </row>
    <row r="38">
      <c r="A38" t="s" s="11">
        <v>76</v>
      </c>
      <c r="B38" t="s" s="11">
        <v>77</v>
      </c>
      <c r="C38" t="s" s="11">
        <v>22</v>
      </c>
    </row>
    <row r="39">
      <c r="A39" t="s" s="11">
        <v>78</v>
      </c>
      <c r="B39" t="s" s="11">
        <v>79</v>
      </c>
      <c r="C39" t="s" s="11">
        <v>22</v>
      </c>
    </row>
    <row r="40">
      <c r="A40" t="s" s="11">
        <v>80</v>
      </c>
      <c r="B40" t="s" s="11">
        <v>81</v>
      </c>
      <c r="C40" t="s" s="11">
        <v>64</v>
      </c>
    </row>
    <row r="41">
      <c r="A41" t="s" s="11">
        <v>82</v>
      </c>
      <c r="B41" t="s" s="11">
        <v>83</v>
      </c>
      <c r="C41" t="s" s="11">
        <v>22</v>
      </c>
    </row>
    <row r="42">
      <c r="A42" t="s" s="11">
        <v>84</v>
      </c>
      <c r="B42" t="s" s="11">
        <v>85</v>
      </c>
      <c r="C42" t="s" s="11">
        <v>22</v>
      </c>
    </row>
    <row r="43">
      <c r="A43" t="s" s="11">
        <v>86</v>
      </c>
      <c r="B43" t="s" s="11">
        <v>87</v>
      </c>
      <c r="C43" t="s" s="11">
        <v>22</v>
      </c>
    </row>
    <row r="44">
      <c r="A44" t="s" s="11">
        <v>88</v>
      </c>
      <c r="B44" t="s" s="11">
        <v>89</v>
      </c>
      <c r="C44" t="s" s="11">
        <v>22</v>
      </c>
    </row>
    <row r="45">
      <c r="A45" t="s" s="11">
        <v>90</v>
      </c>
      <c r="B45" t="s" s="11">
        <v>91</v>
      </c>
      <c r="C45" t="s" s="11">
        <v>22</v>
      </c>
    </row>
    <row r="46">
      <c r="A46" t="s" s="11">
        <v>92</v>
      </c>
      <c r="B46" t="s" s="11">
        <v>93</v>
      </c>
      <c r="C46" t="s" s="11">
        <v>22</v>
      </c>
    </row>
    <row r="47">
      <c r="A47" t="s" s="11">
        <v>94</v>
      </c>
      <c r="B47" t="s" s="11">
        <v>95</v>
      </c>
      <c r="C47" t="s" s="11">
        <v>22</v>
      </c>
    </row>
    <row r="48">
      <c r="A48" t="s" s="11">
        <v>96</v>
      </c>
      <c r="B48" t="s" s="11">
        <v>97</v>
      </c>
      <c r="C48" t="s" s="11">
        <v>22</v>
      </c>
    </row>
    <row r="49">
      <c r="A49" t="s" s="11">
        <v>98</v>
      </c>
      <c r="B49" t="s" s="11">
        <v>99</v>
      </c>
      <c r="C49" t="s" s="11">
        <v>22</v>
      </c>
    </row>
    <row r="50">
      <c r="A50" t="s" s="11">
        <v>100</v>
      </c>
      <c r="B50" t="s" s="11">
        <v>101</v>
      </c>
      <c r="C50" t="s" s="11">
        <v>22</v>
      </c>
    </row>
    <row r="51">
      <c r="A51" t="s" s="11">
        <v>102</v>
      </c>
      <c r="B51" t="s" s="11">
        <v>103</v>
      </c>
      <c r="C51" t="s" s="11">
        <v>22</v>
      </c>
    </row>
    <row r="52">
      <c r="A52" t="s" s="11">
        <v>104</v>
      </c>
      <c r="B52" t="s" s="11">
        <v>105</v>
      </c>
      <c r="C52" t="s" s="11">
        <v>22</v>
      </c>
    </row>
    <row r="53">
      <c r="A53" t="s" s="11">
        <v>106</v>
      </c>
      <c r="B53" t="s" s="11">
        <v>107</v>
      </c>
      <c r="C53" t="s" s="11">
        <v>22</v>
      </c>
    </row>
    <row r="54">
      <c r="A54" t="s" s="11">
        <v>108</v>
      </c>
      <c r="B54" t="s" s="11">
        <v>109</v>
      </c>
      <c r="C54" t="s" s="11">
        <v>22</v>
      </c>
    </row>
    <row r="55">
      <c r="A55" t="s" s="11">
        <v>110</v>
      </c>
      <c r="B55" t="s" s="11">
        <v>111</v>
      </c>
      <c r="C55" t="s" s="11">
        <v>22</v>
      </c>
    </row>
    <row r="56">
      <c r="A56" t="s" s="11">
        <v>112</v>
      </c>
      <c r="B56" t="s" s="11">
        <v>113</v>
      </c>
      <c r="C56" t="s" s="11">
        <v>34</v>
      </c>
    </row>
    <row r="57">
      <c r="A57" t="s" s="11">
        <v>114</v>
      </c>
      <c r="B57" t="s" s="11">
        <v>115</v>
      </c>
      <c r="C57" t="s" s="11">
        <v>34</v>
      </c>
    </row>
    <row r="58">
      <c r="A58" t="s" s="11">
        <v>116</v>
      </c>
      <c r="B58" t="s" s="11">
        <v>117</v>
      </c>
      <c r="C58" t="s" s="11">
        <v>22</v>
      </c>
    </row>
    <row r="59">
      <c r="A59" t="s" s="11">
        <v>118</v>
      </c>
      <c r="B59" t="s" s="11">
        <v>119</v>
      </c>
      <c r="C59" t="s" s="11">
        <v>22</v>
      </c>
    </row>
    <row r="60">
      <c r="A60" t="s" s="8">
        <v>120</v>
      </c>
      <c r="B60" t="s" s="8">
        <v>121</v>
      </c>
      <c r="C60" t="s" s="8">
        <v>22</v>
      </c>
      <c r="D60" s="8" t="n">
        <v>506.23</v>
      </c>
      <c r="E60" s="8" t="n">
        <f>C60 * D60</f>
        <v>506.23</v>
      </c>
      <c r="F60" s="9"/>
      <c r="G60" s="8"/>
    </row>
    <row r="61">
      <c r="A61" t="s" s="10">
        <v>24</v>
      </c>
      <c r="B61" t="s" s="10">
        <v>11</v>
      </c>
      <c r="C61" t="s" s="10">
        <v>25</v>
      </c>
    </row>
    <row r="62">
      <c r="A62" t="s" s="11">
        <v>122</v>
      </c>
      <c r="B62" t="s" s="11">
        <v>123</v>
      </c>
      <c r="C62" t="s" s="11">
        <v>22</v>
      </c>
    </row>
    <row r="63">
      <c r="A63" t="s" s="8">
        <v>124</v>
      </c>
      <c r="B63" t="s" s="8">
        <v>125</v>
      </c>
      <c r="C63" t="s" s="8">
        <v>22</v>
      </c>
      <c r="D63" s="8" t="n">
        <v>1328.85</v>
      </c>
      <c r="E63" s="8" t="n">
        <f>C63 * D63</f>
        <v>1328.85</v>
      </c>
      <c r="F63" s="9"/>
      <c r="G63" s="8"/>
    </row>
    <row r="64">
      <c r="A64" t="s" s="10">
        <v>24</v>
      </c>
      <c r="B64" t="s" s="10">
        <v>11</v>
      </c>
      <c r="C64" t="s" s="10">
        <v>25</v>
      </c>
    </row>
    <row r="65">
      <c r="A65" t="s" s="11">
        <v>126</v>
      </c>
      <c r="B65" t="s" s="11">
        <v>127</v>
      </c>
      <c r="C65" t="s" s="11">
        <v>22</v>
      </c>
    </row>
    <row r="66">
      <c r="A66" t="s" s="8">
        <v>128</v>
      </c>
      <c r="B66" t="s" s="8">
        <v>129</v>
      </c>
      <c r="C66" t="s" s="8">
        <v>22</v>
      </c>
      <c r="D66" s="8" t="n">
        <v>0.0</v>
      </c>
      <c r="E66" s="8" t="n">
        <f>C66 * D66</f>
        <v>0.0</v>
      </c>
      <c r="F66" s="9"/>
      <c r="G66" s="8"/>
    </row>
    <row r="67">
      <c r="A67" t="s" s="8">
        <v>130</v>
      </c>
      <c r="B67" t="s" s="8">
        <v>131</v>
      </c>
      <c r="C67" t="s" s="8">
        <v>22</v>
      </c>
      <c r="D67" s="8" t="n">
        <v>0.0</v>
      </c>
      <c r="E67" s="8" t="n">
        <f>C67 * D67</f>
        <v>0.0</v>
      </c>
      <c r="F67" s="9"/>
      <c r="G67" s="8"/>
    </row>
    <row r="68">
      <c r="A68" t="s" s="8">
        <v>132</v>
      </c>
      <c r="B68" t="s" s="8">
        <v>133</v>
      </c>
      <c r="C68" t="s" s="8">
        <v>22</v>
      </c>
      <c r="D68" s="8" t="n">
        <v>306.65</v>
      </c>
      <c r="E68" s="8" t="n">
        <f>C68 * D68</f>
        <v>306.65</v>
      </c>
      <c r="F68" s="9"/>
      <c r="G68" s="8"/>
    </row>
    <row r="69">
      <c r="A69" t="s" s="10">
        <v>24</v>
      </c>
      <c r="B69" t="s" s="10">
        <v>11</v>
      </c>
      <c r="C69" t="s" s="10">
        <v>25</v>
      </c>
    </row>
    <row r="70">
      <c r="A70" t="s" s="11">
        <v>134</v>
      </c>
      <c r="B70" t="s" s="11">
        <v>135</v>
      </c>
      <c r="C70" t="s" s="11">
        <v>22</v>
      </c>
    </row>
    <row r="71">
      <c r="A71" t="s" s="7">
        <v>19</v>
      </c>
      <c r="B71" t="s" s="7">
        <v>20</v>
      </c>
      <c r="C71" t="s" s="7">
        <v>0</v>
      </c>
      <c r="D71" s="2" t="n">
        <v>26206.6</v>
      </c>
      <c r="E71" s="2" t="n">
        <f>SUM(E72:E129)</f>
        <v>26206.6</v>
      </c>
    </row>
    <row r="72">
      <c r="A72" t="s" s="8">
        <v>19</v>
      </c>
      <c r="B72" t="s" s="8">
        <v>21</v>
      </c>
      <c r="C72" t="s" s="8">
        <v>22</v>
      </c>
      <c r="D72" s="8" t="n">
        <v>24064.87</v>
      </c>
      <c r="E72" s="8" t="n">
        <f>C72 * D72</f>
        <v>24064.87</v>
      </c>
      <c r="F72" t="s" s="9">
        <v>23</v>
      </c>
      <c r="G72" s="8"/>
    </row>
    <row r="73">
      <c r="A73" t="s" s="10">
        <v>24</v>
      </c>
      <c r="B73" t="s" s="10">
        <v>11</v>
      </c>
      <c r="C73" t="s" s="10">
        <v>25</v>
      </c>
    </row>
    <row r="74">
      <c r="A74" t="s" s="11">
        <v>26</v>
      </c>
      <c r="B74" t="s" s="11">
        <v>27</v>
      </c>
      <c r="C74" t="s" s="11">
        <v>22</v>
      </c>
    </row>
    <row r="75">
      <c r="A75" t="s" s="11">
        <v>28</v>
      </c>
      <c r="B75" t="s" s="11">
        <v>29</v>
      </c>
      <c r="C75" t="s" s="11">
        <v>22</v>
      </c>
    </row>
    <row r="76">
      <c r="A76" t="s" s="11">
        <v>30</v>
      </c>
      <c r="B76" t="s" s="11">
        <v>31</v>
      </c>
      <c r="C76" t="s" s="11">
        <v>22</v>
      </c>
    </row>
    <row r="77">
      <c r="A77" t="s" s="11">
        <v>32</v>
      </c>
      <c r="B77" t="s" s="11">
        <v>33</v>
      </c>
      <c r="C77" t="s" s="11">
        <v>34</v>
      </c>
    </row>
    <row r="78">
      <c r="A78" t="s" s="11">
        <v>35</v>
      </c>
      <c r="B78" t="s" s="11">
        <v>36</v>
      </c>
      <c r="C78" t="s" s="11">
        <v>34</v>
      </c>
    </row>
    <row r="79">
      <c r="A79" t="s" s="11">
        <v>37</v>
      </c>
      <c r="B79" t="s" s="11">
        <v>38</v>
      </c>
      <c r="C79" t="s" s="11">
        <v>22</v>
      </c>
    </row>
    <row r="80">
      <c r="A80" t="s" s="11">
        <v>39</v>
      </c>
      <c r="B80" t="s" s="11">
        <v>40</v>
      </c>
      <c r="C80" t="s" s="11">
        <v>34</v>
      </c>
    </row>
    <row r="81">
      <c r="A81" t="s" s="11">
        <v>41</v>
      </c>
      <c r="B81" t="s" s="11">
        <v>42</v>
      </c>
      <c r="C81" t="s" s="11">
        <v>22</v>
      </c>
    </row>
    <row r="82">
      <c r="A82" t="s" s="11">
        <v>136</v>
      </c>
      <c r="B82" t="s" s="11">
        <v>137</v>
      </c>
      <c r="C82" t="s" s="11">
        <v>22</v>
      </c>
    </row>
    <row r="83">
      <c r="A83" t="s" s="11">
        <v>138</v>
      </c>
      <c r="B83" t="s" s="11">
        <v>139</v>
      </c>
      <c r="C83" t="s" s="11">
        <v>34</v>
      </c>
    </row>
    <row r="84">
      <c r="A84" t="s" s="11">
        <v>45</v>
      </c>
      <c r="B84" t="s" s="11">
        <v>46</v>
      </c>
      <c r="C84" t="s" s="11">
        <v>47</v>
      </c>
    </row>
    <row r="85">
      <c r="A85" t="s" s="11">
        <v>48</v>
      </c>
      <c r="B85" t="s" s="11">
        <v>49</v>
      </c>
      <c r="C85" t="s" s="11">
        <v>34</v>
      </c>
    </row>
    <row r="86">
      <c r="A86" t="s" s="11">
        <v>56</v>
      </c>
      <c r="B86" t="s" s="11">
        <v>57</v>
      </c>
      <c r="C86" t="s" s="11">
        <v>22</v>
      </c>
    </row>
    <row r="87">
      <c r="A87" t="s" s="11">
        <v>140</v>
      </c>
      <c r="B87" t="s" s="11">
        <v>141</v>
      </c>
      <c r="C87" t="s" s="11">
        <v>22</v>
      </c>
    </row>
    <row r="88">
      <c r="A88" t="s" s="11">
        <v>60</v>
      </c>
      <c r="B88" t="s" s="11">
        <v>61</v>
      </c>
      <c r="C88" t="s" s="11">
        <v>22</v>
      </c>
    </row>
    <row r="89">
      <c r="A89" t="s" s="11">
        <v>62</v>
      </c>
      <c r="B89" t="s" s="11">
        <v>63</v>
      </c>
      <c r="C89" t="s" s="11">
        <v>64</v>
      </c>
    </row>
    <row r="90">
      <c r="A90" t="s" s="11">
        <v>65</v>
      </c>
      <c r="B90" t="s" s="11">
        <v>66</v>
      </c>
      <c r="C90" t="s" s="11">
        <v>22</v>
      </c>
    </row>
    <row r="91">
      <c r="A91" t="s" s="11">
        <v>67</v>
      </c>
      <c r="B91" t="s" s="11">
        <v>68</v>
      </c>
      <c r="C91" t="s" s="11">
        <v>22</v>
      </c>
    </row>
    <row r="92">
      <c r="A92" t="s" s="11">
        <v>69</v>
      </c>
      <c r="B92" t="s" s="11">
        <v>70</v>
      </c>
      <c r="C92" t="s" s="11">
        <v>34</v>
      </c>
    </row>
    <row r="93">
      <c r="A93" t="s" s="11">
        <v>71</v>
      </c>
      <c r="B93" t="s" s="11">
        <v>72</v>
      </c>
      <c r="C93" t="s" s="11">
        <v>34</v>
      </c>
    </row>
    <row r="94">
      <c r="A94" t="s" s="11">
        <v>73</v>
      </c>
      <c r="B94" t="s" s="11">
        <v>74</v>
      </c>
      <c r="C94" t="s" s="11">
        <v>75</v>
      </c>
    </row>
    <row r="95">
      <c r="A95" t="s" s="11">
        <v>76</v>
      </c>
      <c r="B95" t="s" s="11">
        <v>77</v>
      </c>
      <c r="C95" t="s" s="11">
        <v>22</v>
      </c>
    </row>
    <row r="96">
      <c r="A96" t="s" s="11">
        <v>78</v>
      </c>
      <c r="B96" t="s" s="11">
        <v>79</v>
      </c>
      <c r="C96" t="s" s="11">
        <v>22</v>
      </c>
    </row>
    <row r="97">
      <c r="A97" t="s" s="11">
        <v>80</v>
      </c>
      <c r="B97" t="s" s="11">
        <v>81</v>
      </c>
      <c r="C97" t="s" s="11">
        <v>64</v>
      </c>
    </row>
    <row r="98">
      <c r="A98" t="s" s="11">
        <v>82</v>
      </c>
      <c r="B98" t="s" s="11">
        <v>83</v>
      </c>
      <c r="C98" t="s" s="11">
        <v>22</v>
      </c>
    </row>
    <row r="99">
      <c r="A99" t="s" s="11">
        <v>84</v>
      </c>
      <c r="B99" t="s" s="11">
        <v>85</v>
      </c>
      <c r="C99" t="s" s="11">
        <v>22</v>
      </c>
    </row>
    <row r="100">
      <c r="A100" t="s" s="11">
        <v>86</v>
      </c>
      <c r="B100" t="s" s="11">
        <v>87</v>
      </c>
      <c r="C100" t="s" s="11">
        <v>22</v>
      </c>
    </row>
    <row r="101">
      <c r="A101" t="s" s="11">
        <v>88</v>
      </c>
      <c r="B101" t="s" s="11">
        <v>89</v>
      </c>
      <c r="C101" t="s" s="11">
        <v>22</v>
      </c>
    </row>
    <row r="102">
      <c r="A102" t="s" s="11">
        <v>90</v>
      </c>
      <c r="B102" t="s" s="11">
        <v>91</v>
      </c>
      <c r="C102" t="s" s="11">
        <v>22</v>
      </c>
    </row>
    <row r="103">
      <c r="A103" t="s" s="11">
        <v>142</v>
      </c>
      <c r="B103" t="s" s="11">
        <v>143</v>
      </c>
      <c r="C103" t="s" s="11">
        <v>22</v>
      </c>
    </row>
    <row r="104">
      <c r="A104" t="s" s="11">
        <v>92</v>
      </c>
      <c r="B104" t="s" s="11">
        <v>93</v>
      </c>
      <c r="C104" t="s" s="11">
        <v>22</v>
      </c>
    </row>
    <row r="105">
      <c r="A105" t="s" s="11">
        <v>94</v>
      </c>
      <c r="B105" t="s" s="11">
        <v>95</v>
      </c>
      <c r="C105" t="s" s="11">
        <v>34</v>
      </c>
    </row>
    <row r="106">
      <c r="A106" t="s" s="11">
        <v>96</v>
      </c>
      <c r="B106" t="s" s="11">
        <v>97</v>
      </c>
      <c r="C106" t="s" s="11">
        <v>22</v>
      </c>
    </row>
    <row r="107">
      <c r="A107" t="s" s="11">
        <v>98</v>
      </c>
      <c r="B107" t="s" s="11">
        <v>99</v>
      </c>
      <c r="C107" t="s" s="11">
        <v>22</v>
      </c>
    </row>
    <row r="108">
      <c r="A108" t="s" s="11">
        <v>100</v>
      </c>
      <c r="B108" t="s" s="11">
        <v>101</v>
      </c>
      <c r="C108" t="s" s="11">
        <v>22</v>
      </c>
    </row>
    <row r="109">
      <c r="A109" t="s" s="11">
        <v>102</v>
      </c>
      <c r="B109" t="s" s="11">
        <v>103</v>
      </c>
      <c r="C109" t="s" s="11">
        <v>22</v>
      </c>
    </row>
    <row r="110">
      <c r="A110" t="s" s="11">
        <v>104</v>
      </c>
      <c r="B110" t="s" s="11">
        <v>105</v>
      </c>
      <c r="C110" t="s" s="11">
        <v>22</v>
      </c>
    </row>
    <row r="111">
      <c r="A111" t="s" s="11">
        <v>106</v>
      </c>
      <c r="B111" t="s" s="11">
        <v>107</v>
      </c>
      <c r="C111" t="s" s="11">
        <v>22</v>
      </c>
    </row>
    <row r="112">
      <c r="A112" t="s" s="11">
        <v>108</v>
      </c>
      <c r="B112" t="s" s="11">
        <v>109</v>
      </c>
      <c r="C112" t="s" s="11">
        <v>144</v>
      </c>
    </row>
    <row r="113">
      <c r="A113" t="s" s="11">
        <v>145</v>
      </c>
      <c r="B113" t="s" s="11">
        <v>146</v>
      </c>
      <c r="C113" t="s" s="11">
        <v>22</v>
      </c>
    </row>
    <row r="114">
      <c r="A114" t="s" s="11">
        <v>110</v>
      </c>
      <c r="B114" t="s" s="11">
        <v>111</v>
      </c>
      <c r="C114" t="s" s="11">
        <v>22</v>
      </c>
    </row>
    <row r="115">
      <c r="A115" t="s" s="11">
        <v>112</v>
      </c>
      <c r="B115" t="s" s="11">
        <v>113</v>
      </c>
      <c r="C115" t="s" s="11">
        <v>22</v>
      </c>
    </row>
    <row r="116">
      <c r="A116" t="s" s="11">
        <v>114</v>
      </c>
      <c r="B116" t="s" s="11">
        <v>115</v>
      </c>
      <c r="C116" t="s" s="11">
        <v>34</v>
      </c>
    </row>
    <row r="117">
      <c r="A117" t="s" s="11">
        <v>116</v>
      </c>
      <c r="B117" t="s" s="11">
        <v>117</v>
      </c>
      <c r="C117" t="s" s="11">
        <v>22</v>
      </c>
    </row>
    <row r="118">
      <c r="A118" t="s" s="11">
        <v>118</v>
      </c>
      <c r="B118" t="s" s="11">
        <v>119</v>
      </c>
      <c r="C118" t="s" s="11">
        <v>22</v>
      </c>
    </row>
    <row r="119">
      <c r="A119" t="s" s="8">
        <v>120</v>
      </c>
      <c r="B119" t="s" s="8">
        <v>121</v>
      </c>
      <c r="C119" t="s" s="8">
        <v>22</v>
      </c>
      <c r="D119" s="8" t="n">
        <v>506.23</v>
      </c>
      <c r="E119" s="8" t="n">
        <f>C119 * D119</f>
        <v>506.23</v>
      </c>
      <c r="F119" s="9"/>
      <c r="G119" s="8"/>
    </row>
    <row r="120">
      <c r="A120" t="s" s="10">
        <v>24</v>
      </c>
      <c r="B120" t="s" s="10">
        <v>11</v>
      </c>
      <c r="C120" t="s" s="10">
        <v>25</v>
      </c>
    </row>
    <row r="121">
      <c r="A121" t="s" s="11">
        <v>122</v>
      </c>
      <c r="B121" t="s" s="11">
        <v>123</v>
      </c>
      <c r="C121" t="s" s="11">
        <v>22</v>
      </c>
    </row>
    <row r="122">
      <c r="A122" t="s" s="8">
        <v>124</v>
      </c>
      <c r="B122" t="s" s="8">
        <v>125</v>
      </c>
      <c r="C122" t="s" s="8">
        <v>22</v>
      </c>
      <c r="D122" s="8" t="n">
        <v>1328.85</v>
      </c>
      <c r="E122" s="8" t="n">
        <f>C122 * D122</f>
        <v>1328.85</v>
      </c>
      <c r="F122" s="9"/>
      <c r="G122" s="8"/>
    </row>
    <row r="123">
      <c r="A123" t="s" s="10">
        <v>24</v>
      </c>
      <c r="B123" t="s" s="10">
        <v>11</v>
      </c>
      <c r="C123" t="s" s="10">
        <v>25</v>
      </c>
    </row>
    <row r="124">
      <c r="A124" t="s" s="11">
        <v>126</v>
      </c>
      <c r="B124" t="s" s="11">
        <v>127</v>
      </c>
      <c r="C124" t="s" s="11">
        <v>22</v>
      </c>
    </row>
    <row r="125">
      <c r="A125" t="s" s="8">
        <v>130</v>
      </c>
      <c r="B125" t="s" s="8">
        <v>147</v>
      </c>
      <c r="C125" t="s" s="8">
        <v>22</v>
      </c>
      <c r="D125" s="8" t="n">
        <v>0.0</v>
      </c>
      <c r="E125" s="8" t="n">
        <f>C125 * D125</f>
        <v>0.0</v>
      </c>
      <c r="F125" s="9"/>
      <c r="G125" s="8"/>
    </row>
    <row r="126">
      <c r="A126" t="s" s="8">
        <v>132</v>
      </c>
      <c r="B126" t="s" s="8">
        <v>148</v>
      </c>
      <c r="C126" t="s" s="8">
        <v>22</v>
      </c>
      <c r="D126" s="8" t="n">
        <v>306.65</v>
      </c>
      <c r="E126" s="8" t="n">
        <f>C126 * D126</f>
        <v>306.65</v>
      </c>
      <c r="F126" s="9"/>
      <c r="G126" s="8"/>
    </row>
    <row r="127">
      <c r="A127" t="s" s="10">
        <v>24</v>
      </c>
      <c r="B127" t="s" s="10">
        <v>11</v>
      </c>
      <c r="C127" t="s" s="10">
        <v>25</v>
      </c>
    </row>
    <row r="128">
      <c r="A128" t="s" s="11">
        <v>134</v>
      </c>
      <c r="B128" t="s" s="11">
        <v>135</v>
      </c>
      <c r="C128" t="s" s="11">
        <v>22</v>
      </c>
    </row>
    <row r="129">
      <c r="A129" t="s" s="8">
        <v>128</v>
      </c>
      <c r="B129" t="s" s="8">
        <v>149</v>
      </c>
      <c r="C129" t="s" s="8">
        <v>22</v>
      </c>
      <c r="D129" s="8" t="n">
        <v>0.0</v>
      </c>
      <c r="E129" s="8" t="n">
        <f>C129 * D129</f>
        <v>0.0</v>
      </c>
      <c r="F129" s="9"/>
      <c r="G129" s="8"/>
    </row>
    <row r="130">
      <c r="A130" t="s" s="7">
        <v>150</v>
      </c>
      <c r="B130" t="s" s="7">
        <v>20</v>
      </c>
      <c r="C130" t="s" s="7">
        <v>0</v>
      </c>
      <c r="D130" s="2" t="n">
        <v>31565.54</v>
      </c>
      <c r="E130" s="2" t="n">
        <f>SUM(E131:E183)</f>
        <v>94696.62</v>
      </c>
    </row>
    <row r="131">
      <c r="A131" t="s" s="8">
        <v>150</v>
      </c>
      <c r="B131" t="s" s="8">
        <v>151</v>
      </c>
      <c r="C131" t="s" s="8">
        <v>144</v>
      </c>
      <c r="D131" s="8" t="n">
        <v>29428.03</v>
      </c>
      <c r="E131" s="8" t="n">
        <f>C131 * D131</f>
        <v>88284.09</v>
      </c>
      <c r="F131" t="s" s="9">
        <v>23</v>
      </c>
      <c r="G131" s="8"/>
    </row>
    <row r="132">
      <c r="A132" t="s" s="10">
        <v>24</v>
      </c>
      <c r="B132" t="s" s="10">
        <v>11</v>
      </c>
      <c r="C132" t="s" s="10">
        <v>25</v>
      </c>
    </row>
    <row r="133">
      <c r="A133" t="s" s="11">
        <v>152</v>
      </c>
      <c r="B133" t="s" s="11">
        <v>153</v>
      </c>
      <c r="C133" t="s" s="11">
        <v>22</v>
      </c>
    </row>
    <row r="134">
      <c r="A134" t="s" s="11">
        <v>154</v>
      </c>
      <c r="B134" t="s" s="11">
        <v>155</v>
      </c>
      <c r="C134" t="s" s="11">
        <v>22</v>
      </c>
    </row>
    <row r="135">
      <c r="A135" t="s" s="11">
        <v>30</v>
      </c>
      <c r="B135" t="s" s="11">
        <v>31</v>
      </c>
      <c r="C135" t="s" s="11">
        <v>22</v>
      </c>
    </row>
    <row r="136">
      <c r="A136" t="s" s="11">
        <v>156</v>
      </c>
      <c r="B136" t="s" s="11">
        <v>157</v>
      </c>
      <c r="C136" t="s" s="11">
        <v>34</v>
      </c>
    </row>
    <row r="137">
      <c r="A137" t="s" s="11">
        <v>158</v>
      </c>
      <c r="B137" t="s" s="11">
        <v>159</v>
      </c>
      <c r="C137" t="s" s="11">
        <v>34</v>
      </c>
    </row>
    <row r="138">
      <c r="A138" t="s" s="11">
        <v>160</v>
      </c>
      <c r="B138" t="s" s="11">
        <v>161</v>
      </c>
      <c r="C138" t="s" s="11">
        <v>34</v>
      </c>
    </row>
    <row r="139">
      <c r="A139" t="s" s="11">
        <v>41</v>
      </c>
      <c r="B139" t="s" s="11">
        <v>42</v>
      </c>
      <c r="C139" t="s" s="11">
        <v>22</v>
      </c>
    </row>
    <row r="140">
      <c r="A140" t="s" s="11">
        <v>43</v>
      </c>
      <c r="B140" t="s" s="11">
        <v>44</v>
      </c>
      <c r="C140" t="s" s="11">
        <v>22</v>
      </c>
    </row>
    <row r="141">
      <c r="A141" t="s" s="11">
        <v>162</v>
      </c>
      <c r="B141" t="s" s="11">
        <v>163</v>
      </c>
      <c r="C141" t="s" s="11">
        <v>64</v>
      </c>
    </row>
    <row r="142">
      <c r="A142" t="s" s="11">
        <v>164</v>
      </c>
      <c r="B142" t="s" s="11">
        <v>165</v>
      </c>
      <c r="C142" t="s" s="11">
        <v>34</v>
      </c>
    </row>
    <row r="143">
      <c r="A143" t="s" s="11">
        <v>166</v>
      </c>
      <c r="B143" t="s" s="11">
        <v>167</v>
      </c>
      <c r="C143" t="s" s="11">
        <v>22</v>
      </c>
    </row>
    <row r="144">
      <c r="A144" t="s" s="11">
        <v>56</v>
      </c>
      <c r="B144" t="s" s="11">
        <v>57</v>
      </c>
      <c r="C144" t="s" s="11">
        <v>22</v>
      </c>
    </row>
    <row r="145">
      <c r="A145" t="s" s="11">
        <v>168</v>
      </c>
      <c r="B145" t="s" s="11">
        <v>169</v>
      </c>
      <c r="C145" t="s" s="11">
        <v>22</v>
      </c>
    </row>
    <row r="146">
      <c r="A146" t="s" s="11">
        <v>58</v>
      </c>
      <c r="B146" t="s" s="11">
        <v>59</v>
      </c>
      <c r="C146" t="s" s="11">
        <v>22</v>
      </c>
    </row>
    <row r="147">
      <c r="A147" t="s" s="11">
        <v>62</v>
      </c>
      <c r="B147" t="s" s="11">
        <v>63</v>
      </c>
      <c r="C147" t="s" s="11">
        <v>34</v>
      </c>
    </row>
    <row r="148">
      <c r="A148" t="s" s="11">
        <v>170</v>
      </c>
      <c r="B148" t="s" s="11">
        <v>171</v>
      </c>
      <c r="C148" t="s" s="11">
        <v>22</v>
      </c>
    </row>
    <row r="149">
      <c r="A149" t="s" s="11">
        <v>172</v>
      </c>
      <c r="B149" t="s" s="11">
        <v>173</v>
      </c>
      <c r="C149" t="s" s="11">
        <v>22</v>
      </c>
    </row>
    <row r="150">
      <c r="A150" t="s" s="11">
        <v>174</v>
      </c>
      <c r="B150" t="s" s="11">
        <v>175</v>
      </c>
      <c r="C150" t="s" s="11">
        <v>34</v>
      </c>
    </row>
    <row r="151">
      <c r="A151" t="s" s="11">
        <v>71</v>
      </c>
      <c r="B151" t="s" s="11">
        <v>72</v>
      </c>
      <c r="C151" t="s" s="11">
        <v>34</v>
      </c>
    </row>
    <row r="152">
      <c r="A152" t="s" s="11">
        <v>176</v>
      </c>
      <c r="B152" t="s" s="11">
        <v>177</v>
      </c>
      <c r="C152" t="s" s="11">
        <v>64</v>
      </c>
    </row>
    <row r="153">
      <c r="A153" t="s" s="11">
        <v>178</v>
      </c>
      <c r="B153" t="s" s="11">
        <v>179</v>
      </c>
      <c r="C153" t="s" s="11">
        <v>22</v>
      </c>
    </row>
    <row r="154">
      <c r="A154" t="s" s="11">
        <v>180</v>
      </c>
      <c r="B154" t="s" s="11">
        <v>181</v>
      </c>
      <c r="C154" t="s" s="11">
        <v>22</v>
      </c>
    </row>
    <row r="155">
      <c r="A155" t="s" s="11">
        <v>82</v>
      </c>
      <c r="B155" t="s" s="11">
        <v>83</v>
      </c>
      <c r="C155" t="s" s="11">
        <v>22</v>
      </c>
    </row>
    <row r="156">
      <c r="A156" t="s" s="11">
        <v>182</v>
      </c>
      <c r="B156" t="s" s="11">
        <v>183</v>
      </c>
      <c r="C156" t="s" s="11">
        <v>22</v>
      </c>
    </row>
    <row r="157">
      <c r="A157" t="s" s="11">
        <v>184</v>
      </c>
      <c r="B157" t="s" s="11">
        <v>185</v>
      </c>
      <c r="C157" t="s" s="11">
        <v>22</v>
      </c>
    </row>
    <row r="158">
      <c r="A158" t="s" s="11">
        <v>186</v>
      </c>
      <c r="B158" t="s" s="11">
        <v>187</v>
      </c>
      <c r="C158" t="s" s="11">
        <v>22</v>
      </c>
    </row>
    <row r="159">
      <c r="A159" t="s" s="11">
        <v>188</v>
      </c>
      <c r="B159" t="s" s="11">
        <v>189</v>
      </c>
      <c r="C159" t="s" s="11">
        <v>22</v>
      </c>
    </row>
    <row r="160">
      <c r="A160" t="s" s="11">
        <v>190</v>
      </c>
      <c r="B160" t="s" s="11">
        <v>191</v>
      </c>
      <c r="C160" t="s" s="11">
        <v>22</v>
      </c>
    </row>
    <row r="161">
      <c r="A161" t="s" s="11">
        <v>192</v>
      </c>
      <c r="B161" t="s" s="11">
        <v>193</v>
      </c>
      <c r="C161" t="s" s="11">
        <v>22</v>
      </c>
    </row>
    <row r="162">
      <c r="A162" t="s" s="11">
        <v>194</v>
      </c>
      <c r="B162" t="s" s="11">
        <v>195</v>
      </c>
      <c r="C162" t="s" s="11">
        <v>22</v>
      </c>
    </row>
    <row r="163">
      <c r="A163" t="s" s="11">
        <v>94</v>
      </c>
      <c r="B163" t="s" s="11">
        <v>95</v>
      </c>
      <c r="C163" t="s" s="11">
        <v>22</v>
      </c>
    </row>
    <row r="164">
      <c r="A164" t="s" s="11">
        <v>196</v>
      </c>
      <c r="B164" t="s" s="11">
        <v>197</v>
      </c>
      <c r="C164" t="s" s="11">
        <v>22</v>
      </c>
    </row>
    <row r="165">
      <c r="A165" t="s" s="11">
        <v>198</v>
      </c>
      <c r="B165" t="s" s="11">
        <v>199</v>
      </c>
      <c r="C165" t="s" s="11">
        <v>200</v>
      </c>
    </row>
    <row r="166">
      <c r="A166" t="s" s="11">
        <v>108</v>
      </c>
      <c r="B166" t="s" s="11">
        <v>109</v>
      </c>
      <c r="C166" t="s" s="11">
        <v>34</v>
      </c>
    </row>
    <row r="167">
      <c r="A167" t="s" s="11">
        <v>201</v>
      </c>
      <c r="B167" t="s" s="11">
        <v>202</v>
      </c>
      <c r="C167" t="s" s="11">
        <v>22</v>
      </c>
    </row>
    <row r="168">
      <c r="A168" t="s" s="11">
        <v>92</v>
      </c>
      <c r="B168" t="s" s="11">
        <v>93</v>
      </c>
      <c r="C168" t="s" s="11">
        <v>22</v>
      </c>
    </row>
    <row r="169">
      <c r="A169" t="s" s="11">
        <v>203</v>
      </c>
      <c r="B169" t="s" s="11">
        <v>204</v>
      </c>
      <c r="C169" t="s" s="11">
        <v>22</v>
      </c>
    </row>
    <row r="170">
      <c r="A170" t="s" s="11">
        <v>205</v>
      </c>
      <c r="B170" t="s" s="11">
        <v>206</v>
      </c>
      <c r="C170" t="s" s="11">
        <v>34</v>
      </c>
    </row>
    <row r="171">
      <c r="A171" t="s" s="11">
        <v>207</v>
      </c>
      <c r="B171" t="s" s="11">
        <v>208</v>
      </c>
      <c r="C171" t="s" s="11">
        <v>22</v>
      </c>
    </row>
    <row r="172">
      <c r="A172" t="s" s="11">
        <v>209</v>
      </c>
      <c r="B172" t="s" s="11">
        <v>210</v>
      </c>
      <c r="C172" t="s" s="11">
        <v>22</v>
      </c>
    </row>
    <row r="173">
      <c r="A173" t="s" s="8">
        <v>120</v>
      </c>
      <c r="B173" t="s" s="8">
        <v>121</v>
      </c>
      <c r="C173" t="s" s="8">
        <v>144</v>
      </c>
      <c r="D173" s="8" t="n">
        <v>506.23</v>
      </c>
      <c r="E173" s="8" t="n">
        <f>C173 * D173</f>
        <v>1518.69</v>
      </c>
      <c r="F173" s="9"/>
      <c r="G173" s="8"/>
    </row>
    <row r="174">
      <c r="A174" t="s" s="10">
        <v>24</v>
      </c>
      <c r="B174" t="s" s="10">
        <v>11</v>
      </c>
      <c r="C174" t="s" s="10">
        <v>25</v>
      </c>
    </row>
    <row r="175">
      <c r="A175" t="s" s="11">
        <v>122</v>
      </c>
      <c r="B175" t="s" s="11">
        <v>123</v>
      </c>
      <c r="C175" t="s" s="11">
        <v>22</v>
      </c>
    </row>
    <row r="176">
      <c r="A176" t="s" s="8">
        <v>124</v>
      </c>
      <c r="B176" t="s" s="8">
        <v>125</v>
      </c>
      <c r="C176" t="s" s="8">
        <v>144</v>
      </c>
      <c r="D176" s="8" t="n">
        <v>1328.85</v>
      </c>
      <c r="E176" s="8" t="n">
        <f>C176 * D176</f>
        <v>3986.55</v>
      </c>
      <c r="F176" s="9"/>
      <c r="G176" s="8"/>
    </row>
    <row r="177">
      <c r="A177" t="s" s="10">
        <v>24</v>
      </c>
      <c r="B177" t="s" s="10">
        <v>11</v>
      </c>
      <c r="C177" t="s" s="10">
        <v>25</v>
      </c>
    </row>
    <row r="178">
      <c r="A178" t="s" s="11">
        <v>126</v>
      </c>
      <c r="B178" t="s" s="11">
        <v>127</v>
      </c>
      <c r="C178" t="s" s="11">
        <v>22</v>
      </c>
    </row>
    <row r="179">
      <c r="A179" t="s" s="8">
        <v>130</v>
      </c>
      <c r="B179" t="s" s="8">
        <v>147</v>
      </c>
      <c r="C179" t="s" s="8">
        <v>144</v>
      </c>
      <c r="D179" s="8" t="n">
        <v>0.0</v>
      </c>
      <c r="E179" s="8" t="n">
        <f>C179 * D179</f>
        <v>0.0</v>
      </c>
      <c r="F179" s="9"/>
      <c r="G179" s="8"/>
    </row>
    <row r="180">
      <c r="A180" t="s" s="8">
        <v>128</v>
      </c>
      <c r="B180" t="s" s="8">
        <v>211</v>
      </c>
      <c r="C180" t="s" s="8">
        <v>144</v>
      </c>
      <c r="D180" s="8" t="n">
        <v>0.0</v>
      </c>
      <c r="E180" s="8" t="n">
        <f>C180 * D180</f>
        <v>0.0</v>
      </c>
      <c r="F180" s="9"/>
      <c r="G180" s="8"/>
    </row>
    <row r="181">
      <c r="A181" t="s" s="8">
        <v>212</v>
      </c>
      <c r="B181" t="s" s="8">
        <v>213</v>
      </c>
      <c r="C181" t="s" s="8">
        <v>144</v>
      </c>
      <c r="D181" s="8" t="n">
        <v>302.43</v>
      </c>
      <c r="E181" s="8" t="n">
        <f>C181 * D181</f>
        <v>907.29</v>
      </c>
      <c r="F181" s="9"/>
      <c r="G181" s="8"/>
    </row>
    <row r="182">
      <c r="A182" t="s" s="10">
        <v>24</v>
      </c>
      <c r="B182" t="s" s="10">
        <v>11</v>
      </c>
      <c r="C182" t="s" s="10">
        <v>25</v>
      </c>
    </row>
    <row r="183">
      <c r="A183" t="s" s="11">
        <v>214</v>
      </c>
      <c r="B183" t="s" s="11">
        <v>215</v>
      </c>
      <c r="C183" t="s" s="11">
        <v>22</v>
      </c>
    </row>
    <row r="184">
      <c r="A184" t="s" s="8">
        <v>216</v>
      </c>
      <c r="B184" t="s" s="8">
        <v>217</v>
      </c>
      <c r="C184" t="s" s="8">
        <v>22</v>
      </c>
      <c r="D184" s="8" t="n">
        <v>32313.11</v>
      </c>
      <c r="E184" s="8" t="n">
        <f>C184 * D184</f>
        <v>32313.11</v>
      </c>
      <c r="F184" t="s" s="9">
        <v>218</v>
      </c>
      <c r="G184" s="8"/>
    </row>
    <row r="185">
      <c r="A185" t="s" s="10">
        <v>24</v>
      </c>
      <c r="B185" t="s" s="10">
        <v>11</v>
      </c>
      <c r="C185" t="s" s="10">
        <v>25</v>
      </c>
    </row>
    <row r="186">
      <c r="A186" t="s" s="11">
        <v>219</v>
      </c>
      <c r="B186" t="s" s="11">
        <v>220</v>
      </c>
      <c r="C186" t="s" s="11">
        <v>22</v>
      </c>
    </row>
    <row r="187">
      <c r="A187" t="s" s="11">
        <v>221</v>
      </c>
      <c r="B187" t="s" s="11">
        <v>222</v>
      </c>
      <c r="C187" t="s" s="11">
        <v>34</v>
      </c>
    </row>
    <row r="188">
      <c r="A188" t="s" s="11">
        <v>223</v>
      </c>
      <c r="B188" t="s" s="11">
        <v>224</v>
      </c>
      <c r="C188" t="s" s="11">
        <v>34</v>
      </c>
    </row>
    <row r="189">
      <c r="A189" t="s" s="11">
        <v>225</v>
      </c>
      <c r="B189" t="s" s="11">
        <v>226</v>
      </c>
      <c r="C189" t="s" s="11">
        <v>227</v>
      </c>
    </row>
    <row r="190">
      <c r="A190" t="s" s="11">
        <v>228</v>
      </c>
      <c r="B190" t="s" s="11">
        <v>229</v>
      </c>
      <c r="C190" t="s" s="11">
        <v>230</v>
      </c>
    </row>
    <row r="191">
      <c r="A191" t="s" s="11">
        <v>231</v>
      </c>
      <c r="B191" t="s" s="11">
        <v>232</v>
      </c>
      <c r="C191" t="s" s="11">
        <v>22</v>
      </c>
    </row>
    <row r="192">
      <c r="A192" t="s" s="11">
        <v>233</v>
      </c>
      <c r="B192" t="s" s="11">
        <v>234</v>
      </c>
      <c r="C192" t="s" s="11">
        <v>34</v>
      </c>
    </row>
    <row r="193">
      <c r="A193" t="s" s="11">
        <v>235</v>
      </c>
      <c r="B193" t="s" s="11">
        <v>236</v>
      </c>
      <c r="C193" t="s" s="11">
        <v>22</v>
      </c>
    </row>
    <row r="194">
      <c r="A194" t="s" s="11">
        <v>92</v>
      </c>
      <c r="B194" t="s" s="11">
        <v>93</v>
      </c>
      <c r="C194" t="s" s="11">
        <v>22</v>
      </c>
    </row>
    <row r="195">
      <c r="A195" t="s" s="11">
        <v>237</v>
      </c>
      <c r="B195" t="s" s="11">
        <v>238</v>
      </c>
      <c r="C195" t="s" s="11">
        <v>22</v>
      </c>
    </row>
    <row r="196">
      <c r="A196" t="s" s="11">
        <v>239</v>
      </c>
      <c r="B196" t="s" s="11">
        <v>240</v>
      </c>
      <c r="C196" t="s" s="11">
        <v>22</v>
      </c>
    </row>
    <row r="197">
      <c r="A197" t="s" s="11">
        <v>241</v>
      </c>
      <c r="B197" t="s" s="11">
        <v>242</v>
      </c>
      <c r="C197" t="s" s="11">
        <v>22</v>
      </c>
    </row>
    <row r="198">
      <c r="A198" t="s" s="8">
        <v>243</v>
      </c>
      <c r="B198" t="s" s="8">
        <v>244</v>
      </c>
      <c r="C198" t="s" s="8">
        <v>22</v>
      </c>
      <c r="D198" s="8" t="n">
        <v>319.48</v>
      </c>
      <c r="E198" s="8" t="n">
        <f>C198 * D198</f>
        <v>319.48</v>
      </c>
      <c r="F198" s="9"/>
      <c r="G198" s="8"/>
    </row>
    <row r="199">
      <c r="A199" t="s" s="8">
        <v>245</v>
      </c>
      <c r="B199" t="s" s="8">
        <v>246</v>
      </c>
      <c r="C199" t="s" s="8">
        <v>22</v>
      </c>
      <c r="D199" s="8" t="n">
        <v>155.84</v>
      </c>
      <c r="E199" s="8" t="n">
        <f>C199 * D199</f>
        <v>155.84</v>
      </c>
      <c r="F199" s="9"/>
      <c r="G199" s="8"/>
    </row>
    <row r="200">
      <c r="A200" t="s" s="8">
        <v>247</v>
      </c>
      <c r="B200" t="s" s="8">
        <v>248</v>
      </c>
      <c r="C200" t="s" s="8">
        <v>22</v>
      </c>
      <c r="D200" s="8" t="n">
        <v>7151.73</v>
      </c>
      <c r="E200" s="8" t="n">
        <f>C200 * D200</f>
        <v>7151.73</v>
      </c>
      <c r="F200" s="9"/>
      <c r="G200" s="8"/>
    </row>
    <row r="201">
      <c r="A201" t="s" s="8">
        <v>249</v>
      </c>
      <c r="B201" t="s" s="8">
        <v>250</v>
      </c>
      <c r="C201" t="s" s="8">
        <v>22</v>
      </c>
      <c r="D201" s="8" t="n">
        <v>5926.62</v>
      </c>
      <c r="E201" s="8" t="n">
        <f>C201 * D201</f>
        <v>5926.62</v>
      </c>
      <c r="F201" s="9"/>
      <c r="G201" s="8"/>
    </row>
    <row r="202">
      <c r="A202" t="s" s="8">
        <v>251</v>
      </c>
      <c r="B202" t="s" s="8">
        <v>252</v>
      </c>
      <c r="C202" t="s" s="8">
        <v>144</v>
      </c>
      <c r="D202" s="8" t="n">
        <v>151.32</v>
      </c>
      <c r="E202" s="8" t="n">
        <f>C202 * D202</f>
        <v>453.96</v>
      </c>
      <c r="F202" s="9"/>
      <c r="G202" s="8"/>
    </row>
    <row r="203">
      <c r="A203" t="s" s="8">
        <v>253</v>
      </c>
      <c r="B203" t="s" s="8">
        <v>254</v>
      </c>
      <c r="C203" t="s" s="8">
        <v>144</v>
      </c>
      <c r="D203" s="8" t="n">
        <v>310.18</v>
      </c>
      <c r="E203" s="8" t="n">
        <f>C203 * D203</f>
        <v>930.54</v>
      </c>
      <c r="F203" s="9"/>
      <c r="G203" s="8"/>
    </row>
    <row r="204">
      <c r="A204" t="s" s="8">
        <v>255</v>
      </c>
      <c r="B204" t="s" s="8">
        <v>256</v>
      </c>
      <c r="C204" t="s" s="8">
        <v>144</v>
      </c>
      <c r="D204" s="8" t="n">
        <v>2312.02</v>
      </c>
      <c r="E204" s="8" t="n">
        <f>C204 * D204</f>
        <v>6936.06</v>
      </c>
      <c r="F204" s="9"/>
      <c r="G204" s="8"/>
    </row>
    <row r="205">
      <c r="A205" t="s" s="8">
        <v>257</v>
      </c>
      <c r="B205" t="s" s="8">
        <v>258</v>
      </c>
      <c r="C205" t="s" s="8">
        <v>144</v>
      </c>
      <c r="D205" s="8" t="n">
        <v>5041.49</v>
      </c>
      <c r="E205" s="8" t="n">
        <f>C205 * D205</f>
        <v>15124.47</v>
      </c>
      <c r="F205" s="9"/>
      <c r="G205" s="8"/>
    </row>
    <row r="206">
      <c r="A206" t="s" s="8">
        <v>259</v>
      </c>
      <c r="B206" t="s" s="8">
        <v>260</v>
      </c>
      <c r="C206" t="s" s="8">
        <v>22</v>
      </c>
      <c r="D206" s="8" t="n">
        <v>242.6</v>
      </c>
      <c r="E206" s="8" t="n">
        <f>C206 * D206</f>
        <v>242.6</v>
      </c>
      <c r="F206" s="9"/>
      <c r="G206" s="8"/>
    </row>
    <row r="207">
      <c r="A207" t="s" s="8">
        <v>261</v>
      </c>
      <c r="B207" t="s" s="8">
        <v>262</v>
      </c>
      <c r="C207" t="s" s="8">
        <v>22</v>
      </c>
      <c r="D207" s="8" t="n">
        <v>120.59</v>
      </c>
      <c r="E207" s="8" t="n">
        <f>C207 * D207</f>
        <v>120.59</v>
      </c>
      <c r="F207" s="9"/>
      <c r="G207" s="8"/>
    </row>
    <row r="208">
      <c r="A208" t="s" s="8">
        <v>263</v>
      </c>
      <c r="B208" t="s" s="8">
        <v>264</v>
      </c>
      <c r="C208" t="s" s="8">
        <v>22</v>
      </c>
      <c r="D208" s="8" t="n">
        <v>131.52</v>
      </c>
      <c r="E208" s="8" t="n">
        <f>C208 * D208</f>
        <v>131.52</v>
      </c>
      <c r="F208" s="9"/>
      <c r="G208" s="8"/>
    </row>
    <row r="209">
      <c r="A209" t="s" s="8">
        <v>265</v>
      </c>
      <c r="B209" t="s" s="8">
        <v>266</v>
      </c>
      <c r="C209" t="s" s="8">
        <v>22</v>
      </c>
      <c r="D209" s="8" t="n">
        <v>3147.73</v>
      </c>
      <c r="E209" s="8" t="n">
        <f>C209 * D209</f>
        <v>3147.73</v>
      </c>
      <c r="F209" s="9"/>
      <c r="G209" s="8"/>
    </row>
    <row r="210">
      <c r="A210" t="s" s="8">
        <v>267</v>
      </c>
      <c r="B210" t="s" s="8">
        <v>268</v>
      </c>
      <c r="C210" t="s" s="8">
        <v>22</v>
      </c>
      <c r="D210" s="8" t="n">
        <v>3168.23</v>
      </c>
      <c r="E210" s="8" t="n">
        <f>C210 * D210</f>
        <v>3168.23</v>
      </c>
      <c r="F210" s="9"/>
      <c r="G210" s="8"/>
    </row>
    <row r="211">
      <c r="A211" t="s" s="8">
        <v>269</v>
      </c>
      <c r="B211" t="s" s="8">
        <v>270</v>
      </c>
      <c r="C211" t="s" s="8">
        <v>22</v>
      </c>
      <c r="D211" s="8" t="n">
        <v>3456.27</v>
      </c>
      <c r="E211" s="8" t="n">
        <f>C211 * D211</f>
        <v>3456.27</v>
      </c>
      <c r="F211" s="9"/>
      <c r="G211" s="8"/>
    </row>
    <row r="212">
      <c r="A212" t="s" s="8">
        <v>271</v>
      </c>
      <c r="B212" t="s" s="8">
        <v>272</v>
      </c>
      <c r="C212" t="s" s="8">
        <v>22</v>
      </c>
      <c r="D212" s="8" t="n">
        <v>17291.62</v>
      </c>
      <c r="E212" s="8" t="n">
        <f>C212 * D212</f>
        <v>17291.62</v>
      </c>
      <c r="F212" t="s" s="9">
        <v>218</v>
      </c>
      <c r="G212" s="8"/>
    </row>
    <row r="213">
      <c r="A213" t="s" s="10">
        <v>24</v>
      </c>
      <c r="B213" t="s" s="10">
        <v>11</v>
      </c>
      <c r="C213" t="s" s="10">
        <v>25</v>
      </c>
    </row>
    <row r="214">
      <c r="A214" t="s" s="11">
        <v>273</v>
      </c>
      <c r="B214" t="s" s="11">
        <v>274</v>
      </c>
      <c r="C214" t="s" s="11">
        <v>22</v>
      </c>
    </row>
    <row r="215">
      <c r="A215" t="s" s="11">
        <v>275</v>
      </c>
      <c r="B215" t="s" s="11">
        <v>276</v>
      </c>
      <c r="C215" t="s" s="11">
        <v>22</v>
      </c>
    </row>
    <row r="216">
      <c r="A216" t="s" s="11">
        <v>277</v>
      </c>
      <c r="B216" t="s" s="11">
        <v>278</v>
      </c>
      <c r="C216" t="s" s="11">
        <v>227</v>
      </c>
    </row>
    <row r="217">
      <c r="A217" t="s" s="11">
        <v>228</v>
      </c>
      <c r="B217" t="s" s="11">
        <v>229</v>
      </c>
      <c r="C217" t="s" s="11">
        <v>75</v>
      </c>
    </row>
    <row r="218">
      <c r="A218" t="s" s="11">
        <v>233</v>
      </c>
      <c r="B218" t="s" s="11">
        <v>234</v>
      </c>
      <c r="C218" t="s" s="11">
        <v>34</v>
      </c>
    </row>
    <row r="219">
      <c r="A219" t="s" s="11">
        <v>279</v>
      </c>
      <c r="B219" t="s" s="11">
        <v>280</v>
      </c>
      <c r="C219" t="s" s="11">
        <v>22</v>
      </c>
    </row>
    <row r="220">
      <c r="A220" t="s" s="7">
        <v>150</v>
      </c>
      <c r="B220" t="s" s="7">
        <v>20</v>
      </c>
      <c r="C220" t="s" s="7">
        <v>0</v>
      </c>
      <c r="D220" s="2" t="n">
        <v>27715.08</v>
      </c>
      <c r="E220" s="2" t="n">
        <f>SUM(E221:E273)</f>
        <v>83145.24</v>
      </c>
    </row>
    <row r="221">
      <c r="A221" t="s" s="8">
        <v>150</v>
      </c>
      <c r="B221" t="s" s="8">
        <v>151</v>
      </c>
      <c r="C221" t="s" s="8">
        <v>144</v>
      </c>
      <c r="D221" s="8" t="n">
        <v>25577.57</v>
      </c>
      <c r="E221" s="8" t="n">
        <f>C221 * D221</f>
        <v>76732.71</v>
      </c>
      <c r="F221" s="9"/>
      <c r="G221" s="8"/>
    </row>
    <row r="222">
      <c r="A222" t="s" s="10">
        <v>24</v>
      </c>
      <c r="B222" t="s" s="10">
        <v>11</v>
      </c>
      <c r="C222" t="s" s="10">
        <v>25</v>
      </c>
    </row>
    <row r="223">
      <c r="A223" t="s" s="11">
        <v>152</v>
      </c>
      <c r="B223" t="s" s="11">
        <v>153</v>
      </c>
      <c r="C223" t="s" s="11">
        <v>22</v>
      </c>
    </row>
    <row r="224">
      <c r="A224" t="s" s="11">
        <v>154</v>
      </c>
      <c r="B224" t="s" s="11">
        <v>155</v>
      </c>
      <c r="C224" t="s" s="11">
        <v>22</v>
      </c>
    </row>
    <row r="225">
      <c r="A225" t="s" s="11">
        <v>30</v>
      </c>
      <c r="B225" t="s" s="11">
        <v>31</v>
      </c>
      <c r="C225" t="s" s="11">
        <v>22</v>
      </c>
    </row>
    <row r="226">
      <c r="A226" t="s" s="11">
        <v>281</v>
      </c>
      <c r="B226" t="s" s="11">
        <v>282</v>
      </c>
      <c r="C226" t="s" s="11">
        <v>34</v>
      </c>
    </row>
    <row r="227">
      <c r="A227" t="s" s="11">
        <v>158</v>
      </c>
      <c r="B227" t="s" s="11">
        <v>159</v>
      </c>
      <c r="C227" t="s" s="11">
        <v>34</v>
      </c>
    </row>
    <row r="228">
      <c r="A228" t="s" s="11">
        <v>160</v>
      </c>
      <c r="B228" t="s" s="11">
        <v>161</v>
      </c>
      <c r="C228" t="s" s="11">
        <v>34</v>
      </c>
    </row>
    <row r="229">
      <c r="A229" t="s" s="11">
        <v>41</v>
      </c>
      <c r="B229" t="s" s="11">
        <v>42</v>
      </c>
      <c r="C229" t="s" s="11">
        <v>22</v>
      </c>
    </row>
    <row r="230">
      <c r="A230" t="s" s="11">
        <v>43</v>
      </c>
      <c r="B230" t="s" s="11">
        <v>44</v>
      </c>
      <c r="C230" t="s" s="11">
        <v>22</v>
      </c>
    </row>
    <row r="231">
      <c r="A231" t="s" s="11">
        <v>162</v>
      </c>
      <c r="B231" t="s" s="11">
        <v>163</v>
      </c>
      <c r="C231" t="s" s="11">
        <v>64</v>
      </c>
    </row>
    <row r="232">
      <c r="A232" t="s" s="11">
        <v>164</v>
      </c>
      <c r="B232" t="s" s="11">
        <v>165</v>
      </c>
      <c r="C232" t="s" s="11">
        <v>34</v>
      </c>
    </row>
    <row r="233">
      <c r="A233" t="s" s="11">
        <v>166</v>
      </c>
      <c r="B233" t="s" s="11">
        <v>167</v>
      </c>
      <c r="C233" t="s" s="11">
        <v>22</v>
      </c>
    </row>
    <row r="234">
      <c r="A234" t="s" s="11">
        <v>56</v>
      </c>
      <c r="B234" t="s" s="11">
        <v>57</v>
      </c>
      <c r="C234" t="s" s="11">
        <v>22</v>
      </c>
    </row>
    <row r="235">
      <c r="A235" t="s" s="11">
        <v>168</v>
      </c>
      <c r="B235" t="s" s="11">
        <v>169</v>
      </c>
      <c r="C235" t="s" s="11">
        <v>22</v>
      </c>
    </row>
    <row r="236">
      <c r="A236" t="s" s="11">
        <v>140</v>
      </c>
      <c r="B236" t="s" s="11">
        <v>141</v>
      </c>
      <c r="C236" t="s" s="11">
        <v>22</v>
      </c>
    </row>
    <row r="237">
      <c r="A237" t="s" s="11">
        <v>62</v>
      </c>
      <c r="B237" t="s" s="11">
        <v>63</v>
      </c>
      <c r="C237" t="s" s="11">
        <v>34</v>
      </c>
    </row>
    <row r="238">
      <c r="A238" t="s" s="11">
        <v>170</v>
      </c>
      <c r="B238" t="s" s="11">
        <v>171</v>
      </c>
      <c r="C238" t="s" s="11">
        <v>22</v>
      </c>
    </row>
    <row r="239">
      <c r="A239" t="s" s="11">
        <v>172</v>
      </c>
      <c r="B239" t="s" s="11">
        <v>173</v>
      </c>
      <c r="C239" t="s" s="11">
        <v>22</v>
      </c>
    </row>
    <row r="240">
      <c r="A240" t="s" s="11">
        <v>174</v>
      </c>
      <c r="B240" t="s" s="11">
        <v>175</v>
      </c>
      <c r="C240" t="s" s="11">
        <v>34</v>
      </c>
    </row>
    <row r="241">
      <c r="A241" t="s" s="11">
        <v>71</v>
      </c>
      <c r="B241" t="s" s="11">
        <v>72</v>
      </c>
      <c r="C241" t="s" s="11">
        <v>34</v>
      </c>
    </row>
    <row r="242">
      <c r="A242" t="s" s="11">
        <v>176</v>
      </c>
      <c r="B242" t="s" s="11">
        <v>177</v>
      </c>
      <c r="C242" t="s" s="11">
        <v>64</v>
      </c>
    </row>
    <row r="243">
      <c r="A243" t="s" s="11">
        <v>178</v>
      </c>
      <c r="B243" t="s" s="11">
        <v>179</v>
      </c>
      <c r="C243" t="s" s="11">
        <v>22</v>
      </c>
    </row>
    <row r="244">
      <c r="A244" t="s" s="11">
        <v>180</v>
      </c>
      <c r="B244" t="s" s="11">
        <v>181</v>
      </c>
      <c r="C244" t="s" s="11">
        <v>22</v>
      </c>
    </row>
    <row r="245">
      <c r="A245" t="s" s="11">
        <v>82</v>
      </c>
      <c r="B245" t="s" s="11">
        <v>83</v>
      </c>
      <c r="C245" t="s" s="11">
        <v>22</v>
      </c>
    </row>
    <row r="246">
      <c r="A246" t="s" s="11">
        <v>182</v>
      </c>
      <c r="B246" t="s" s="11">
        <v>183</v>
      </c>
      <c r="C246" t="s" s="11">
        <v>22</v>
      </c>
    </row>
    <row r="247">
      <c r="A247" t="s" s="11">
        <v>184</v>
      </c>
      <c r="B247" t="s" s="11">
        <v>185</v>
      </c>
      <c r="C247" t="s" s="11">
        <v>22</v>
      </c>
    </row>
    <row r="248">
      <c r="A248" t="s" s="11">
        <v>283</v>
      </c>
      <c r="B248" t="s" s="11">
        <v>284</v>
      </c>
      <c r="C248" t="s" s="11">
        <v>22</v>
      </c>
    </row>
    <row r="249">
      <c r="A249" t="s" s="11">
        <v>186</v>
      </c>
      <c r="B249" t="s" s="11">
        <v>187</v>
      </c>
      <c r="C249" t="s" s="11">
        <v>22</v>
      </c>
    </row>
    <row r="250">
      <c r="A250" t="s" s="11">
        <v>188</v>
      </c>
      <c r="B250" t="s" s="11">
        <v>189</v>
      </c>
      <c r="C250" t="s" s="11">
        <v>22</v>
      </c>
    </row>
    <row r="251">
      <c r="A251" t="s" s="11">
        <v>190</v>
      </c>
      <c r="B251" t="s" s="11">
        <v>191</v>
      </c>
      <c r="C251" t="s" s="11">
        <v>22</v>
      </c>
    </row>
    <row r="252">
      <c r="A252" t="s" s="11">
        <v>192</v>
      </c>
      <c r="B252" t="s" s="11">
        <v>193</v>
      </c>
      <c r="C252" t="s" s="11">
        <v>22</v>
      </c>
    </row>
    <row r="253">
      <c r="A253" t="s" s="11">
        <v>194</v>
      </c>
      <c r="B253" t="s" s="11">
        <v>195</v>
      </c>
      <c r="C253" t="s" s="11">
        <v>22</v>
      </c>
    </row>
    <row r="254">
      <c r="A254" t="s" s="11">
        <v>94</v>
      </c>
      <c r="B254" t="s" s="11">
        <v>95</v>
      </c>
      <c r="C254" t="s" s="11">
        <v>34</v>
      </c>
    </row>
    <row r="255">
      <c r="A255" t="s" s="11">
        <v>196</v>
      </c>
      <c r="B255" t="s" s="11">
        <v>197</v>
      </c>
      <c r="C255" t="s" s="11">
        <v>22</v>
      </c>
    </row>
    <row r="256">
      <c r="A256" t="s" s="11">
        <v>108</v>
      </c>
      <c r="B256" t="s" s="11">
        <v>109</v>
      </c>
      <c r="C256" t="s" s="11">
        <v>34</v>
      </c>
    </row>
    <row r="257">
      <c r="A257" t="s" s="11">
        <v>201</v>
      </c>
      <c r="B257" t="s" s="11">
        <v>202</v>
      </c>
      <c r="C257" t="s" s="11">
        <v>22</v>
      </c>
    </row>
    <row r="258">
      <c r="A258" t="s" s="11">
        <v>203</v>
      </c>
      <c r="B258" t="s" s="11">
        <v>204</v>
      </c>
      <c r="C258" t="s" s="11">
        <v>22</v>
      </c>
    </row>
    <row r="259">
      <c r="A259" t="s" s="11">
        <v>205</v>
      </c>
      <c r="B259" t="s" s="11">
        <v>206</v>
      </c>
      <c r="C259" t="s" s="11">
        <v>34</v>
      </c>
    </row>
    <row r="260">
      <c r="A260" t="s" s="11">
        <v>207</v>
      </c>
      <c r="B260" t="s" s="11">
        <v>208</v>
      </c>
      <c r="C260" t="s" s="11">
        <v>22</v>
      </c>
    </row>
    <row r="261">
      <c r="A261" t="s" s="11">
        <v>209</v>
      </c>
      <c r="B261" t="s" s="11">
        <v>210</v>
      </c>
      <c r="C261" t="s" s="11">
        <v>22</v>
      </c>
    </row>
    <row r="262">
      <c r="A262" t="s" s="11">
        <v>285</v>
      </c>
      <c r="B262" t="s" s="11">
        <v>286</v>
      </c>
      <c r="C262" t="s" s="11">
        <v>22</v>
      </c>
    </row>
    <row r="263">
      <c r="A263" t="s" s="8">
        <v>120</v>
      </c>
      <c r="B263" t="s" s="8">
        <v>121</v>
      </c>
      <c r="C263" t="s" s="8">
        <v>144</v>
      </c>
      <c r="D263" s="8" t="n">
        <v>506.23</v>
      </c>
      <c r="E263" s="8" t="n">
        <f>C263 * D263</f>
        <v>1518.69</v>
      </c>
      <c r="F263" s="9"/>
      <c r="G263" s="8"/>
    </row>
    <row r="264">
      <c r="A264" t="s" s="10">
        <v>24</v>
      </c>
      <c r="B264" t="s" s="10">
        <v>11</v>
      </c>
      <c r="C264" t="s" s="10">
        <v>25</v>
      </c>
    </row>
    <row r="265">
      <c r="A265" t="s" s="11">
        <v>122</v>
      </c>
      <c r="B265" t="s" s="11">
        <v>123</v>
      </c>
      <c r="C265" t="s" s="11">
        <v>22</v>
      </c>
    </row>
    <row r="266">
      <c r="A266" t="s" s="8">
        <v>124</v>
      </c>
      <c r="B266" t="s" s="8">
        <v>125</v>
      </c>
      <c r="C266" t="s" s="8">
        <v>144</v>
      </c>
      <c r="D266" s="8" t="n">
        <v>1328.85</v>
      </c>
      <c r="E266" s="8" t="n">
        <f>C266 * D266</f>
        <v>3986.55</v>
      </c>
      <c r="F266" s="9"/>
      <c r="G266" s="8"/>
    </row>
    <row r="267">
      <c r="A267" t="s" s="10">
        <v>24</v>
      </c>
      <c r="B267" t="s" s="10">
        <v>11</v>
      </c>
      <c r="C267" t="s" s="10">
        <v>25</v>
      </c>
    </row>
    <row r="268">
      <c r="A268" t="s" s="11">
        <v>126</v>
      </c>
      <c r="B268" t="s" s="11">
        <v>127</v>
      </c>
      <c r="C268" t="s" s="11">
        <v>22</v>
      </c>
    </row>
    <row r="269">
      <c r="A269" t="s" s="8">
        <v>130</v>
      </c>
      <c r="B269" t="s" s="8">
        <v>147</v>
      </c>
      <c r="C269" t="s" s="8">
        <v>144</v>
      </c>
      <c r="D269" s="8" t="n">
        <v>0.0</v>
      </c>
      <c r="E269" s="8" t="n">
        <f>C269 * D269</f>
        <v>0.0</v>
      </c>
      <c r="F269" s="9"/>
      <c r="G269" s="8"/>
    </row>
    <row r="270">
      <c r="A270" t="s" s="8">
        <v>128</v>
      </c>
      <c r="B270" t="s" s="8">
        <v>211</v>
      </c>
      <c r="C270" t="s" s="8">
        <v>144</v>
      </c>
      <c r="D270" s="8" t="n">
        <v>0.0</v>
      </c>
      <c r="E270" s="8" t="n">
        <f>C270 * D270</f>
        <v>0.0</v>
      </c>
      <c r="F270" s="9"/>
      <c r="G270" s="8"/>
    </row>
    <row r="271">
      <c r="A271" t="s" s="8">
        <v>212</v>
      </c>
      <c r="B271" t="s" s="8">
        <v>213</v>
      </c>
      <c r="C271" t="s" s="8">
        <v>144</v>
      </c>
      <c r="D271" s="8" t="n">
        <v>302.43</v>
      </c>
      <c r="E271" s="8" t="n">
        <f>C271 * D271</f>
        <v>907.29</v>
      </c>
      <c r="F271" s="9"/>
      <c r="G271" s="8"/>
    </row>
    <row r="272">
      <c r="A272" t="s" s="10">
        <v>24</v>
      </c>
      <c r="B272" t="s" s="10">
        <v>11</v>
      </c>
      <c r="C272" t="s" s="10">
        <v>25</v>
      </c>
    </row>
    <row r="273">
      <c r="A273" t="s" s="11">
        <v>214</v>
      </c>
      <c r="B273" t="s" s="11">
        <v>215</v>
      </c>
      <c r="C273" t="s" s="11">
        <v>22</v>
      </c>
    </row>
    <row r="274">
      <c r="A274" t="s" s="8">
        <v>243</v>
      </c>
      <c r="B274" t="s" s="8">
        <v>244</v>
      </c>
      <c r="C274" t="s" s="8">
        <v>22</v>
      </c>
      <c r="D274" s="8" t="n">
        <v>319.48</v>
      </c>
      <c r="E274" s="8" t="n">
        <f>C274 * D274</f>
        <v>319.48</v>
      </c>
      <c r="F274" s="9"/>
      <c r="G274" s="8"/>
    </row>
    <row r="275">
      <c r="A275" t="s" s="8">
        <v>245</v>
      </c>
      <c r="B275" t="s" s="8">
        <v>246</v>
      </c>
      <c r="C275" t="s" s="8">
        <v>22</v>
      </c>
      <c r="D275" s="8" t="n">
        <v>155.84</v>
      </c>
      <c r="E275" s="8" t="n">
        <f>C275 * D275</f>
        <v>155.84</v>
      </c>
      <c r="F275" s="9"/>
      <c r="G275" s="8"/>
    </row>
    <row r="276">
      <c r="A276" t="s" s="8">
        <v>247</v>
      </c>
      <c r="B276" t="s" s="8">
        <v>248</v>
      </c>
      <c r="C276" t="s" s="8">
        <v>22</v>
      </c>
      <c r="D276" s="8" t="n">
        <v>7151.73</v>
      </c>
      <c r="E276" s="8" t="n">
        <f>C276 * D276</f>
        <v>7151.73</v>
      </c>
      <c r="F276" s="9"/>
      <c r="G276" s="8"/>
    </row>
    <row r="277">
      <c r="A277" t="s" s="8">
        <v>249</v>
      </c>
      <c r="B277" t="s" s="8">
        <v>250</v>
      </c>
      <c r="C277" t="s" s="8">
        <v>22</v>
      </c>
      <c r="D277" s="8" t="n">
        <v>5926.62</v>
      </c>
      <c r="E277" s="8" t="n">
        <f>C277 * D277</f>
        <v>5926.62</v>
      </c>
      <c r="F277" s="9"/>
      <c r="G277" s="8"/>
    </row>
    <row r="278">
      <c r="A278" t="s" s="8">
        <v>287</v>
      </c>
      <c r="B278" t="s" s="8">
        <v>288</v>
      </c>
      <c r="C278" t="s" s="8">
        <v>22</v>
      </c>
      <c r="D278" s="8" t="n">
        <v>784.38</v>
      </c>
      <c r="E278" s="8" t="n">
        <f>C278 * D278</f>
        <v>784.38</v>
      </c>
      <c r="F278" s="9"/>
      <c r="G278" s="8"/>
    </row>
    <row r="279">
      <c r="A279" t="s" s="8">
        <v>289</v>
      </c>
      <c r="B279" t="s" s="8">
        <v>290</v>
      </c>
      <c r="C279" t="s" s="8">
        <v>22</v>
      </c>
      <c r="D279" s="8" t="n">
        <v>205.34</v>
      </c>
      <c r="E279" s="8" t="n">
        <f>C279 * D279</f>
        <v>205.34</v>
      </c>
      <c r="F279" s="9"/>
      <c r="G279" s="8"/>
    </row>
    <row r="280">
      <c r="A280" t="s" s="8">
        <v>291</v>
      </c>
      <c r="B280" t="s" s="8">
        <v>292</v>
      </c>
      <c r="C280" t="s" s="8">
        <v>22</v>
      </c>
      <c r="D280" s="8" t="n">
        <v>410.65</v>
      </c>
      <c r="E280" s="8" t="n">
        <f>C280 * D280</f>
        <v>410.65</v>
      </c>
      <c r="F280" s="9"/>
      <c r="G280" s="8"/>
    </row>
    <row r="281">
      <c r="A281" t="s" s="8">
        <v>293</v>
      </c>
      <c r="B281" t="s" s="8">
        <v>294</v>
      </c>
      <c r="C281" t="s" s="8">
        <v>22</v>
      </c>
      <c r="D281" s="8" t="n">
        <v>3521.81</v>
      </c>
      <c r="E281" s="8" t="n">
        <f>C281 * D281</f>
        <v>3521.81</v>
      </c>
      <c r="F281" s="9"/>
      <c r="G281" s="8"/>
    </row>
    <row r="282">
      <c r="A282" t="s" s="8">
        <v>295</v>
      </c>
      <c r="B282" t="s" s="8">
        <v>296</v>
      </c>
      <c r="C282" t="s" s="8">
        <v>22</v>
      </c>
      <c r="D282" s="8" t="n">
        <v>2517.41</v>
      </c>
      <c r="E282" s="8" t="n">
        <f>C282 * D282</f>
        <v>2517.41</v>
      </c>
      <c r="F282" s="9"/>
      <c r="G282" s="8"/>
    </row>
    <row r="283">
      <c r="A283" t="s" s="8">
        <v>297</v>
      </c>
      <c r="B283" t="s" s="8">
        <v>298</v>
      </c>
      <c r="C283" t="s" s="8">
        <v>22</v>
      </c>
      <c r="D283" s="8" t="n">
        <v>5034.84</v>
      </c>
      <c r="E283" s="8" t="n">
        <f>C283 * D283</f>
        <v>5034.84</v>
      </c>
      <c r="F283" s="9"/>
      <c r="G283" s="8"/>
    </row>
    <row r="284">
      <c r="A284" t="s" s="8">
        <v>251</v>
      </c>
      <c r="B284" t="s" s="8">
        <v>252</v>
      </c>
      <c r="C284" t="s" s="8">
        <v>144</v>
      </c>
      <c r="D284" s="8" t="n">
        <v>151.32</v>
      </c>
      <c r="E284" s="8" t="n">
        <f>C284 * D284</f>
        <v>453.96</v>
      </c>
      <c r="F284" s="9"/>
      <c r="G284" s="8"/>
    </row>
    <row r="285">
      <c r="A285" t="s" s="8">
        <v>253</v>
      </c>
      <c r="B285" t="s" s="8">
        <v>254</v>
      </c>
      <c r="C285" t="s" s="8">
        <v>144</v>
      </c>
      <c r="D285" s="8" t="n">
        <v>310.18</v>
      </c>
      <c r="E285" s="8" t="n">
        <f>C285 * D285</f>
        <v>930.54</v>
      </c>
      <c r="F285" s="9"/>
      <c r="G285" s="8"/>
    </row>
    <row r="286">
      <c r="A286" t="s" s="8">
        <v>255</v>
      </c>
      <c r="B286" t="s" s="8">
        <v>256</v>
      </c>
      <c r="C286" t="s" s="8">
        <v>144</v>
      </c>
      <c r="D286" s="8" t="n">
        <v>2312.02</v>
      </c>
      <c r="E286" s="8" t="n">
        <f>C286 * D286</f>
        <v>6936.06</v>
      </c>
      <c r="F286" s="9"/>
      <c r="G286" s="8"/>
    </row>
    <row r="287">
      <c r="A287" t="s" s="8">
        <v>257</v>
      </c>
      <c r="B287" t="s" s="8">
        <v>258</v>
      </c>
      <c r="C287" t="s" s="8">
        <v>144</v>
      </c>
      <c r="D287" s="8" t="n">
        <v>5041.49</v>
      </c>
      <c r="E287" s="8" t="n">
        <f>C287 * D287</f>
        <v>15124.47</v>
      </c>
      <c r="F287" s="9"/>
      <c r="G287" s="8"/>
    </row>
    <row r="288">
      <c r="A288" t="s" s="8">
        <v>0</v>
      </c>
      <c r="B288" t="s" s="8">
        <v>0</v>
      </c>
      <c r="C288" t="s" s="8">
        <v>0</v>
      </c>
      <c r="D288" t="s" s="8">
        <v>299</v>
      </c>
      <c r="E288" s="8" t="n">
        <f>SUM(E12:E287)  - E12 - E71 - E130 - E220</f>
        <v>377368.03</v>
      </c>
    </row>
    <row r="289"/>
    <row r="290">
      <c r="A290" t="s" s="12">
        <v>300</v>
      </c>
      <c r="B290" s="12"/>
      <c r="C290" t="s" s="12">
        <v>301</v>
      </c>
    </row>
  </sheetData>
  <mergeCells>
    <mergeCell ref="B1:G1"/>
    <mergeCell ref="B2:F2"/>
    <mergeCell ref="D3:E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ns0:coreProperties xmlns:dc="http://purl.org/dc/elements/1.1/" xmlns:ns0="http://schemas.openxmlformats.org/package/2006/metadata/core-properties" xmlns:ns1="http://purl.org/dc/terms/" xmlns:xsi="http://www.w3.org/2001/XMLSchema-instance" xmlns:dcterms="http://purl.org/dc/terms/">
  <ns1:created xsi:type="dcterms:W3CDTF">2026-08-11T22:17:31Z</ns1:created>
  <dc:creator>BidParser</dc:creator>
</ns0:coreProperties>
</file>