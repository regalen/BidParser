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istributor Quote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yyyy-mm-dd h:mm:ss"/>
  </numFmts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164" fontId="0" fillId="0" borderId="0" pivotButton="0" quotePrefix="0" xfId="0"/>
    <xf numFmtId="14" fontId="0" fillId="0" borderId="0" pivotButton="0" quotePrefix="0" xfId="0"/>
    <xf numFmtId="4" fontId="0" fillId="0" borderId="0" pivotButton="0" quotePrefix="0" xfId="0"/>
    <xf numFmtId="165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1:AC17"/>
  <sheetViews>
    <sheetView workbookViewId="0">
      <selection activeCell="A1" sqref="A1"/>
    </sheetView>
  </sheetViews>
  <sheetFormatPr baseColWidth="8" defaultRowHeight="15"/>
  <sheetData>
    <row r="1">
      <c r="B1" t="inlineStr">
        <is>
          <t>Trellix Distributor Quote Report — synthetic fixture</t>
        </is>
      </c>
    </row>
    <row r="5">
      <c r="B5" t="inlineStr">
        <is>
          <t>Quote ID</t>
        </is>
      </c>
      <c r="C5" t="inlineStr">
        <is>
          <t>Q-900003</t>
        </is>
      </c>
    </row>
    <row r="6">
      <c r="B6" t="inlineStr">
        <is>
          <t>Quote Currency</t>
        </is>
      </c>
      <c r="C6" t="inlineStr">
        <is>
          <t>AUD</t>
        </is>
      </c>
    </row>
    <row r="12">
      <c r="B12" t="inlineStr">
        <is>
          <t>Quote Name</t>
        </is>
      </c>
      <c r="C12" t="inlineStr">
        <is>
          <t>Quote Id</t>
        </is>
      </c>
      <c r="D12" t="inlineStr">
        <is>
          <t>Line Number</t>
        </is>
      </c>
      <c r="E12" t="inlineStr">
        <is>
          <t>Product Description</t>
        </is>
      </c>
      <c r="F12" t="inlineStr">
        <is>
          <t>Material Category</t>
        </is>
      </c>
      <c r="G12" t="inlineStr">
        <is>
          <t>Program Type</t>
        </is>
      </c>
      <c r="H12" t="inlineStr">
        <is>
          <t>Program Benefit</t>
        </is>
      </c>
      <c r="I12" t="inlineStr">
        <is>
          <t>Selling Term</t>
        </is>
      </c>
      <c r="J12" t="inlineStr">
        <is>
          <t>Start Date</t>
        </is>
      </c>
      <c r="K12" t="inlineStr">
        <is>
          <t>End Date</t>
        </is>
      </c>
      <c r="L12" t="inlineStr">
        <is>
          <t>End of life date (hardware / software)</t>
        </is>
      </c>
      <c r="M12" t="inlineStr">
        <is>
          <t>QTY Hardware</t>
        </is>
      </c>
      <c r="N12" t="inlineStr">
        <is>
          <t>QTY Software or Support (Nodes)</t>
        </is>
      </c>
      <c r="O12" t="inlineStr">
        <is>
          <t>Channel SKU</t>
        </is>
      </c>
      <c r="P12" t="inlineStr">
        <is>
          <t>Grant #'s</t>
        </is>
      </c>
      <c r="Q12" t="inlineStr">
        <is>
          <t>Latest Serial Number</t>
        </is>
      </c>
      <c r="R12" t="inlineStr">
        <is>
          <t>Original Serial Number</t>
        </is>
      </c>
      <c r="S12" t="inlineStr">
        <is>
          <t>MSRP Per Unit</t>
        </is>
      </c>
      <c r="T12" t="inlineStr">
        <is>
          <t>Total MSRP</t>
        </is>
      </c>
      <c r="U12" t="inlineStr">
        <is>
          <t>Cost Per Unit</t>
        </is>
      </c>
      <c r="V12" t="inlineStr">
        <is>
          <t>Standard Disti Cost Per Unit</t>
        </is>
      </c>
      <c r="W12" t="inlineStr">
        <is>
          <t>Total Standard Disti Cost</t>
        </is>
      </c>
      <c r="X12" t="inlineStr">
        <is>
          <t>Final Disti Cost</t>
        </is>
      </c>
      <c r="Y12" t="inlineStr">
        <is>
          <t>Currency</t>
        </is>
      </c>
      <c r="Z12" t="inlineStr">
        <is>
          <t>Start Date</t>
        </is>
      </c>
      <c r="AA12" t="inlineStr">
        <is>
          <t>Charge Type</t>
        </is>
      </c>
      <c r="AB12" t="inlineStr">
        <is>
          <t>End Date</t>
        </is>
      </c>
      <c r="AC12" t="inlineStr">
        <is>
          <t>Line Status</t>
        </is>
      </c>
    </row>
    <row r="13">
      <c r="S13" t="inlineStr">
        <is>
          <t>[Listprice Converted]</t>
        </is>
      </c>
    </row>
    <row r="14">
      <c r="B14" t="inlineStr">
        <is>
          <t>Synthetic Quote</t>
        </is>
      </c>
      <c r="C14" t="inlineStr">
        <is>
          <t>Q-900003</t>
        </is>
      </c>
      <c r="D14" t="n">
        <v>1</v>
      </c>
      <c r="E14" t="inlineStr">
        <is>
          <t>Synthetic subscription A</t>
        </is>
      </c>
      <c r="G14" t="inlineStr">
        <is>
          <t>Subscription</t>
        </is>
      </c>
      <c r="I14" s="1" t="n">
        <v>1</v>
      </c>
      <c r="J14" s="2">
        <f>IF(AC14="New","",Z14)</f>
        <v>46037.0</v>
      </c>
      <c r="K14" s="2">
        <f>AB14</f>
        <v>46387.0</v>
      </c>
      <c r="M14" t="n">
        <v>0</v>
      </c>
      <c r="N14" t="n">
        <v>4</v>
      </c>
      <c r="O14" t="inlineStr">
        <is>
          <t>TRX-SYN-001</t>
        </is>
      </c>
      <c r="P14" t="inlineStr">
        <is>
          <t>GRANT-SYN-001</t>
        </is>
      </c>
      <c r="S14" t="n">
        <v>20</v>
      </c>
      <c r="T14" s="3">
        <f>S14*MAX(M14:N14)*I14</f>
        <v>80.0</v>
      </c>
      <c r="U14" t="n">
        <v>12.5</v>
      </c>
      <c r="X14" t="n">
        <v>50</v>
      </c>
      <c r="Y14" t="inlineStr">
        <is>
          <t>AUD</t>
        </is>
      </c>
      <c r="Z14" s="4" t="n">
        <v>46037</v>
      </c>
      <c r="AB14" s="4" t="n">
        <v>46387</v>
      </c>
      <c r="AC14" t="inlineStr">
        <is>
          <t>Active</t>
        </is>
      </c>
    </row>
    <row r="15">
      <c r="B15" t="inlineStr">
        <is>
          <t>Synthetic Quote</t>
        </is>
      </c>
      <c r="C15" t="inlineStr">
        <is>
          <t>Q-900003</t>
        </is>
      </c>
      <c r="D15" t="n">
        <v>2</v>
      </c>
      <c r="E15" t="inlineStr">
        <is>
          <t>Synthetic renewal B</t>
        </is>
      </c>
      <c r="G15" t="inlineStr">
        <is>
          <t>Renewal</t>
        </is>
      </c>
      <c r="I15" s="1" t="n">
        <v>1.33333</v>
      </c>
      <c r="J15" s="2" t="str">
        <f>IF(AC15="New","",Z15)</f>
        <v/>
      </c>
      <c r="K15" s="2">
        <f>AB15</f>
        <v>46539.0</v>
      </c>
      <c r="M15" t="n">
        <v>0</v>
      </c>
      <c r="N15" t="n">
        <v>2</v>
      </c>
      <c r="O15" t="inlineStr">
        <is>
          <t>TRX-SYN-002</t>
        </is>
      </c>
      <c r="S15" t="n">
        <v>22.5</v>
      </c>
      <c r="T15" s="3">
        <f>S15*MAX(M15:N15)*I15</f>
        <v>60.0</v>
      </c>
      <c r="U15" t="n">
        <v>20</v>
      </c>
      <c r="X15" t="n">
        <v>40</v>
      </c>
      <c r="Y15" t="inlineStr">
        <is>
          <t>AUD</t>
        </is>
      </c>
      <c r="Z15" s="4" t="n">
        <v>46054</v>
      </c>
      <c r="AB15" s="4" t="n">
        <v>46539</v>
      </c>
      <c r="AC15" t="inlineStr">
        <is>
          <t>New</t>
        </is>
      </c>
    </row>
    <row r="16">
      <c r="B16" t="inlineStr">
        <is>
          <t>Synthetic Quote</t>
        </is>
      </c>
      <c r="C16" t="inlineStr">
        <is>
          <t>Q-900003</t>
        </is>
      </c>
      <c r="D16" t="n">
        <v>3</v>
      </c>
      <c r="E16" t="inlineStr">
        <is>
          <t>Synthetic free line</t>
        </is>
      </c>
      <c r="G16" t="inlineStr">
        <is>
          <t>Promotion</t>
        </is>
      </c>
      <c r="I16" s="1" t="n">
        <v>1</v>
      </c>
      <c r="J16" s="2" t="str">
        <f>IF(AC16="New","",Z16)</f>
        <v/>
      </c>
      <c r="K16" s="2" t="str">
        <f>""</f>
        <v/>
      </c>
      <c r="M16" t="n">
        <v>0</v>
      </c>
      <c r="N16" t="n">
        <v>1</v>
      </c>
      <c r="O16" t="inlineStr">
        <is>
          <t>TRX-SYN-003</t>
        </is>
      </c>
      <c r="S16" t="n">
        <v>0</v>
      </c>
      <c r="T16" s="3">
        <f>S16*MAX(M16:N16)*I16</f>
        <v>0.0</v>
      </c>
      <c r="U16" t="n">
        <v>0</v>
      </c>
      <c r="X16" t="n">
        <v>0</v>
      </c>
      <c r="Y16" t="inlineStr">
        <is>
          <t>AUD</t>
        </is>
      </c>
      <c r="Z16" s="4" t="n">
        <v>46082</v>
      </c>
      <c r="AC16" t="inlineStr">
        <is>
          <t>New</t>
        </is>
      </c>
    </row>
    <row r="17">
      <c r="B17" t="inlineStr">
        <is>
          <t>Synthetic Quote</t>
        </is>
      </c>
      <c r="C17" t="inlineStr">
        <is>
          <t>Q-900003</t>
        </is>
      </c>
      <c r="D17" t="n">
        <v>4</v>
      </c>
      <c r="E17" t="inlineStr">
        <is>
          <t>Synthetic hardware D</t>
        </is>
      </c>
      <c r="G17" t="inlineStr">
        <is>
          <t>Hardware</t>
        </is>
      </c>
      <c r="I17" s="1" t="n">
        <v>1</v>
      </c>
      <c r="J17" s="2">
        <f>IF(AC17="New","",Z17)</f>
        <v>46113.0</v>
      </c>
      <c r="K17" s="2">
        <f>AB17</f>
        <v>46477.0</v>
      </c>
      <c r="M17" t="n">
        <v>3</v>
      </c>
      <c r="N17" t="n">
        <v>0</v>
      </c>
      <c r="O17" t="inlineStr">
        <is>
          <t>TRX-SYN-004</t>
        </is>
      </c>
      <c r="P17" t="inlineStr">
        <is>
          <t>GRANT-SYN-004</t>
        </is>
      </c>
      <c r="Q17" t="inlineStr">
        <is>
          <t>SN-SYN-004</t>
        </is>
      </c>
      <c r="S17" t="n">
        <v>10</v>
      </c>
      <c r="T17" s="3">
        <f>S17*MAX(M17:N17)*I17</f>
        <v>30.0</v>
      </c>
      <c r="U17" t="n">
        <v>3.33</v>
      </c>
      <c r="X17" t="n">
        <v>9.99</v>
      </c>
      <c r="Y17" t="inlineStr">
        <is>
          <t>AUD</t>
        </is>
      </c>
      <c r="Z17" s="4" t="n">
        <v>46113</v>
      </c>
      <c r="AB17" s="4" t="n">
        <v>46477</v>
      </c>
      <c r="AC17" t="inlineStr">
        <is>
          <t>Active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regalen</dc:creator>
  <dcterms:created xmlns:dcterms="http://purl.org/dc/terms/" xmlns:xsi="http://www.w3.org/2001/XMLSchema-instance" xsi:type="dcterms:W3CDTF">2026-09-21T09:10:56Z</dcterms:created>
  <dcterms:modified xmlns:dcterms="http://purl.org/dc/terms/" xmlns:xsi="http://www.w3.org/2001/XMLSchema-instance" xsi:type="dcterms:W3CDTF">2026-09-21T09:10:56Z</dcterms:modified>
  <cp:lastModifiedBy>regalen</cp:lastModifiedBy>
</cp:coreProperties>
</file>